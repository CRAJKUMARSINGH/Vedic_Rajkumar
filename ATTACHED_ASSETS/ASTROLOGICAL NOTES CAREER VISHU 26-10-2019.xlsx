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STROLOGY\"/>
    </mc:Choice>
  </mc:AlternateContent>
  <bookViews>
    <workbookView xWindow="-120" yWindow="-120" windowWidth="21840" windowHeight="13140" tabRatio="713" activeTab="1"/>
  </bookViews>
  <sheets>
    <sheet name="MARRIAGE" sheetId="6" r:id="rId1"/>
    <sheet name="CAREER" sheetId="4" r:id="rId2"/>
    <sheet name="HOUSE" sheetId="7" r:id="rId3"/>
    <sheet name="CHILDREN" sheetId="11" r:id="rId4"/>
    <sheet name="formula" sheetId="12" r:id="rId5"/>
    <sheet name="GENERAL" sheetId="10" r:id="rId6"/>
    <sheet name="HORA" sheetId="1" r:id="rId7"/>
    <sheet name="ALTAPPU" sheetId="2" r:id="rId8"/>
    <sheet name="RATNA" sheetId="5" r:id="rId9"/>
    <sheet name="VIDESH" sheetId="9" r:id="rId10"/>
    <sheet name="KALSARPA" sheetId="8" r:id="rId11"/>
    <sheet name="MUHURTT" sheetId="3" r:id="rId12"/>
    <sheet name="SITES" sheetId="13" r:id="rId13"/>
  </sheets>
  <calcPr calcId="162913"/>
</workbook>
</file>

<file path=xl/calcChain.xml><?xml version="1.0" encoding="utf-8"?>
<calcChain xmlns="http://schemas.openxmlformats.org/spreadsheetml/2006/main">
  <c r="G4" i="5" l="1"/>
  <c r="G3" i="5"/>
  <c r="G2" i="5"/>
  <c r="B14" i="6"/>
  <c r="D1" i="9"/>
  <c r="D2" i="9"/>
  <c r="D3" i="9"/>
  <c r="D4" i="9"/>
  <c r="D5" i="9"/>
  <c r="D6" i="9"/>
  <c r="D7" i="9"/>
  <c r="D8" i="9"/>
  <c r="D9" i="9"/>
  <c r="D10" i="9"/>
  <c r="D11" i="9"/>
  <c r="D12" i="9"/>
  <c r="C13" i="9"/>
  <c r="D13" i="9"/>
  <c r="C14" i="9"/>
  <c r="A21" i="9" s="1"/>
  <c r="D14" i="9"/>
  <c r="A17" i="9"/>
  <c r="A18" i="9"/>
  <c r="D13" i="11"/>
  <c r="A18" i="11" s="1"/>
  <c r="C13" i="11"/>
  <c r="A17" i="11" s="1"/>
  <c r="D12" i="11"/>
  <c r="D14" i="11" s="1"/>
  <c r="D11" i="11"/>
  <c r="D10" i="11"/>
  <c r="D9" i="11"/>
  <c r="D8" i="11"/>
  <c r="D7" i="11"/>
  <c r="D6" i="11"/>
  <c r="D5" i="11"/>
  <c r="D4" i="11"/>
  <c r="D3" i="11"/>
  <c r="D2" i="11"/>
  <c r="D1" i="11"/>
  <c r="D13" i="7"/>
  <c r="A18" i="7" s="1"/>
  <c r="C13" i="7"/>
  <c r="A17" i="7" s="1"/>
  <c r="D12" i="7"/>
  <c r="D14" i="7" s="1"/>
  <c r="D11" i="7"/>
  <c r="D10" i="7"/>
  <c r="D9" i="7"/>
  <c r="D8" i="7"/>
  <c r="D7" i="7"/>
  <c r="D6" i="7"/>
  <c r="D5" i="7"/>
  <c r="D4" i="7"/>
  <c r="D3" i="7"/>
  <c r="D2" i="7"/>
  <c r="D1" i="7"/>
  <c r="C14" i="4"/>
  <c r="A19" i="4" s="1"/>
  <c r="C13" i="4"/>
  <c r="A18" i="4" s="1"/>
  <c r="D12" i="4"/>
  <c r="D11" i="4"/>
  <c r="D10" i="4"/>
  <c r="D9" i="4"/>
  <c r="D8" i="4"/>
  <c r="D7" i="4"/>
  <c r="D6" i="4"/>
  <c r="D5" i="4"/>
  <c r="D4" i="4"/>
  <c r="D3" i="4"/>
  <c r="D2" i="4"/>
  <c r="D1" i="4"/>
  <c r="D13" i="6"/>
  <c r="A18" i="6" s="1"/>
  <c r="C13" i="6"/>
  <c r="A17" i="6" s="1"/>
  <c r="D12" i="6"/>
  <c r="D11" i="6"/>
  <c r="D10" i="6"/>
  <c r="D9" i="6"/>
  <c r="D8" i="6"/>
  <c r="D7" i="6"/>
  <c r="D6" i="6"/>
  <c r="D5" i="6"/>
  <c r="D4" i="6"/>
  <c r="D3" i="6"/>
  <c r="D2" i="6"/>
  <c r="D1" i="6"/>
  <c r="D14" i="12"/>
  <c r="A17" i="12" s="1"/>
  <c r="C14" i="12"/>
  <c r="A16" i="12" s="1"/>
  <c r="D12" i="12"/>
  <c r="D15" i="12" s="1"/>
  <c r="D11" i="12"/>
  <c r="D10" i="12"/>
  <c r="D9" i="12"/>
  <c r="D8" i="12"/>
  <c r="D7" i="12"/>
  <c r="D6" i="12"/>
  <c r="D5" i="12"/>
  <c r="D4" i="12"/>
  <c r="D3" i="12"/>
  <c r="D2" i="12"/>
  <c r="D1" i="12"/>
  <c r="A19" i="9" l="1"/>
  <c r="A20" i="9"/>
  <c r="D14" i="6"/>
  <c r="C14" i="11"/>
  <c r="C14" i="7"/>
  <c r="C14" i="6"/>
  <c r="C15" i="12"/>
  <c r="A18" i="12" s="1"/>
  <c r="A21" i="4" l="1"/>
  <c r="A20" i="4"/>
  <c r="A20" i="6"/>
  <c r="A19" i="6"/>
  <c r="A19" i="7"/>
  <c r="A20" i="7"/>
  <c r="A19" i="11"/>
  <c r="A20" i="11"/>
  <c r="A21" i="7"/>
  <c r="A22" i="4"/>
  <c r="A21" i="6"/>
</calcChain>
</file>

<file path=xl/sharedStrings.xml><?xml version="1.0" encoding="utf-8"?>
<sst xmlns="http://schemas.openxmlformats.org/spreadsheetml/2006/main" count="1072" uniqueCount="328">
  <si>
    <t>HORA CHART AND ASCENDENT CHART SHOWS AVERAGE FINANCE... AVERAGE FINANCIAL POSITION IS THE PREDICTION.</t>
  </si>
  <si>
    <t>10 TH LORD IN 6TH HOUSE, 11TH LORD IN 8TH HOUSE INCREASES THE PLIGHT.</t>
  </si>
  <si>
    <t>iN HORA CHART</t>
  </si>
  <si>
    <t>AVERAGE FINANCIAL POSITION IS THE PREDICTION.</t>
  </si>
  <si>
    <t>U HAVE sUN, JUPITER ONLY TWO PLANETS ARE WELL PLACED.</t>
  </si>
  <si>
    <t>Sun, Mars and Jupiter are strong in day-strong sign LEO.</t>
  </si>
  <si>
    <t>Moon, Mercury, Venus and Saturn are strong in night-strong sign CANCER.</t>
  </si>
  <si>
    <t>Rahu...Saturday</t>
  </si>
  <si>
    <t>Ketu... Thursday</t>
  </si>
  <si>
    <t>Please include DATE OF BIRTH so that a chart can be generated and your query can be answered in truly astrological sense.</t>
  </si>
  <si>
    <t>Ple ase include TIME OF BIRTH so that a chart can be generated and your query can be answered in truly astrological sense.</t>
  </si>
  <si>
    <t xml:space="preserve">Please include PLACE OF BIRTH so that a chart can be generated and your query can be answered in truly astrological sense. </t>
  </si>
  <si>
    <t>Please include DATE AND TIME OF BIRTH so that a chart can be generated and your query can be answered in truly astrological sense.</t>
  </si>
  <si>
    <t>Presently Guru is having transit in Kumbha From 01 May 2009 to 02 May 2010.</t>
  </si>
  <si>
    <t>From 03 May 2011 to 04 May 2012 when Guru will transit in Mesha.</t>
  </si>
  <si>
    <t>From 05 May 2012 to 06 May 2013 when Guru will transit in Vrishabha.</t>
  </si>
  <si>
    <t>Groom Lagna Mangalik Chandra Mangalik</t>
  </si>
  <si>
    <t>Ganpati</t>
  </si>
  <si>
    <t>GEMINI</t>
  </si>
  <si>
    <t>DEITY</t>
  </si>
  <si>
    <t>Diamond</t>
  </si>
  <si>
    <t>Emerald</t>
  </si>
  <si>
    <t xml:space="preserve">Sardonyx </t>
  </si>
  <si>
    <t xml:space="preserve">Please include QUESTION or QUERY so that a chart can be generated and your query can be answered in truly astrological sense. </t>
  </si>
  <si>
    <t>You asked about Build/ Purchase new house</t>
  </si>
  <si>
    <t>YES U HAVE KALSARPA DOSHA.</t>
  </si>
  <si>
    <t>Methods to reduce the effect of Kalsarpa Yoga</t>
  </si>
  <si>
    <t>1. The first and foremost method to reduce the affect of Kalsarpa yoga is to pray to Lord Shiva in His Maharudra avatar on Mondays. Rudrashatakam written by Goswami Tulasidas in Ramacharit Manas should be chanted regularly.</t>
  </si>
  <si>
    <t>2. Wear a Gomed, about two and a half carets in size in the little finger.</t>
  </si>
  <si>
    <t>3. Wear a special ring, shaped like a serpent with a small Gomed at the head and a Vaidurya (lahsuniya) at the tail. This ring is to be worn in the middle finger. Take a look at the following images - I could not capture the scale correctly, but the size of the stones is actually pretty small - less than 4 mm in diameter.</t>
  </si>
  <si>
    <t>Kalsarpa Yoga</t>
  </si>
  <si>
    <t>A lot has been read, said and discussed about the Kalsarpa Yoga. This yoga, and please notice the choice of words - it is a yoga and _not_ a dosha, is caused when all the planets are hemmed between Rahu and Ketu. The figure on the side illustrates this point. If a person has Kalsarpa yoga in his kundali, Rahu and Ketu are said to limit the potential of the chart and not allow other important yogas to take effect. In practice, it is observed that this role of Rahu and Ketu diminishes over time and good things are just delayed for such people. Again, noted Astrologer Dr.B.V.Raman is of the opinion that if the ascendant is on the other axis while all the planets are hemmed on one side of the axis, then the evil arising out of Kala Sarpa Yoga almost gets neutralised.</t>
  </si>
  <si>
    <t>This blog is just a commentary on what I have learnt about Kalsarpa yoga over the years. My advice to the readers is not to take this yoga too seriously and go on with the life. Research shows that this yoga was not a part of classical texts written by great sages like Parashara, Bhrigu etc. but gained importance later.</t>
  </si>
  <si>
    <t>Types of Kalsarpa Yoga</t>
  </si>
  <si>
    <t>There are 12 types of Kalsarpa Yoga. I am sure readers are going to come back to me and ask me about Kal Amrita Yoga as well, but I do not think that Kal Amrita Yoga is a seperate yoga and would not like to comment on it.</t>
  </si>
  <si>
    <t>1. Anant Kalsarpa Yoga - Rahu in Lagna, Ketu in seventh house: The person is prone to be target of conspiracies hatched by people supposedly close to him. The person is likely to lose out in matters of courts. Married life would be marred by differences between husband and wife.</t>
  </si>
  <si>
    <t>2. Kulika Kalsarpa Yoga - Rahu in second house, Ketu in eighth: This combination is not good for the person’s health. Expenses would be more then the income and the financial situation would remain fairly mediocre. He has to struggle a lot in life to achieve something.</t>
  </si>
  <si>
    <t>3. Vasuki Kalsarpa Yoga - Rahu in third house, Ketu in ninth: The person would have trouble dealing with his brothers and friends. Travel to foreign countries would create problems. The person having this combination in his chart should take precautions in deals by paying extra attention towards legal documentation.</t>
  </si>
  <si>
    <t>4. Shankapal Kalsarpa Yoga - Rahu in fourth house, Ketu in tenth: The person with this combination would never be satisfied with his financial situation and would always strive for more. The person is prone to troubles relating to immovable property - e.g. land, houses and modes of conveyance - e.g. cars. 5. Padma Kalsarpa Yoga - Rahu in fifth house, Ketu in eleventh: The person would have trouble with children. The person should never try his luck in lottery, share markets, and anything where speculation is involved.</t>
  </si>
  <si>
    <t>6. Mahapadma Kalsarpa Yoga - Rahu in sixth house, Ketu in twelfth: The person would not do well in relationships and would have a very pessimistic view of life.</t>
  </si>
  <si>
    <t>7. Takshak Kalsarpa Yoga - Rahu in seventh house, Ketu in first: There is a need for the person to be extra careful in matter relating to married life and business partnerships.</t>
  </si>
  <si>
    <t xml:space="preserve">8. Karkotik Kalsarpa Yoga - Rahu in eighth house, Ketu in second: The person does not benefit from any </t>
  </si>
  <si>
    <t>Ashtakoot milan points 20.5 &gt;or = 18 Ok</t>
  </si>
  <si>
    <t>Bride Lagna Mangalik</t>
  </si>
  <si>
    <t>Conclusion… THE MATCH IS OK</t>
  </si>
  <si>
    <t>In Lagna chart the 9th house lord MARS is situated in Mesha Rasi and Simha, Dhanu are at trikona from Mesha Rasi.</t>
  </si>
  <si>
    <t>In Navamansa chart the 90th house lord MARS is situated in Dhanu Rasi and Mesha, Simha are at trikona from Dhanu Rasi.</t>
  </si>
  <si>
    <t>Presently Guru is having transit in Makara.[upto 30 April 2009]</t>
  </si>
  <si>
    <t>You asked about Career/ Time of Getting Job/ Career establishment/PROMOTION</t>
  </si>
  <si>
    <t>Yellow Topaz</t>
  </si>
  <si>
    <t xml:space="preserve">SAPPHIRE </t>
  </si>
  <si>
    <t>9th house, 12th house and lords thereof are all in movable signs.</t>
  </si>
  <si>
    <t>U will definitely see the world....i mean a major part of it.</t>
  </si>
  <si>
    <t>U have to wear Pukhraj.</t>
  </si>
  <si>
    <t>Fast on Thursdays.</t>
  </si>
  <si>
    <t>Donate yellow coloured articles on Thursdays.</t>
  </si>
  <si>
    <t xml:space="preserve">Eat yellow coloured grains/ fruits on Thursdays. </t>
  </si>
  <si>
    <t>Ur business will be related to Jupiter.</t>
  </si>
  <si>
    <t xml:space="preserve">Brahmin, Teacher, Dairy, savings Lawyer/ Judge , astrology, philosophy , gems , jewel , charity , religious duty , artilcles of yellow color, an orator , literature , reading other's mind </t>
  </si>
  <si>
    <t>Remedies: Pinda-Daan to be given at shastra specified places with specific rituals.</t>
  </si>
  <si>
    <t>1. Kashi, Gaya and Allahabad, these three places are considered for Pinda-Daan. As in shastra, it is called Agram, Madhyam and Moolam. Invariably, in all these places, the Banyan tree is main worshipping place.</t>
  </si>
  <si>
    <t>2. Rameshwaram @ Agni-Theertham, Pinda-Daan can be done but again there is a set of special ritual binding you to visit Ramanadpuram and Thirupullani.</t>
  </si>
  <si>
    <t xml:space="preserve">3. Badrinath: here Brahma Kapala Tharpanam is offered, i.e. Water with Till (sesame seed) to pacify the quest of our ancestors. If anyone has pestering problem, to check their horoscope, contact with details to get further clarification. </t>
  </si>
  <si>
    <t>MERCURY IS VERY WEEK AS PER SHADBALA.</t>
  </si>
  <si>
    <t>WEAR PANNA.</t>
  </si>
  <si>
    <t>DONATE GREEN CLOTH TO EUNUCH.</t>
  </si>
  <si>
    <t xml:space="preserve">FEED GREEN CHILLY TO PARROT. </t>
  </si>
  <si>
    <t>Your thirst to know be better understood by visiting---</t>
  </si>
  <si>
    <t xml:space="preserve">moneyc ontrol.com </t>
  </si>
  <si>
    <t>Dashmansa chart pertains to GREAT SUCCESS.</t>
  </si>
  <si>
    <t>Lagna lord Jupiter in 5th house.</t>
  </si>
  <si>
    <t>Moon in own 5th house.</t>
  </si>
  <si>
    <t>Exalted Mars in 11th house.</t>
  </si>
  <si>
    <t>U WILL HAVE ALL THE LUXURIES AN INTERNATIONAL ALLROUNDER DREAMS OF.</t>
  </si>
  <si>
    <t>U have extra ordinary combinations.</t>
  </si>
  <si>
    <t xml:space="preserve">ur fame will spread internationally. </t>
  </si>
  <si>
    <t>In ur case dasamsa chart has exalted Venus in Lagna.</t>
  </si>
  <si>
    <t xml:space="preserve">projin fo.org/?p=249 </t>
  </si>
  <si>
    <t>Very powerful Lagna lord with exalted jupiter in 11th house (income).</t>
  </si>
  <si>
    <t>Venus in own 2nd house.</t>
  </si>
  <si>
    <t>Very good combinations.</t>
  </si>
  <si>
    <t>11th lord in 12th house.</t>
  </si>
  <si>
    <t>Sun in own 12 house.</t>
  </si>
  <si>
    <t>These will cause expenditures in excess of one's income.</t>
  </si>
  <si>
    <t>Moon dasha is running.</t>
  </si>
  <si>
    <t>U R also running Saturn sade sati.</t>
  </si>
  <si>
    <t>Worship Hanumanji.</t>
  </si>
  <si>
    <t xml:space="preserve">Chaya dan can be done. </t>
  </si>
  <si>
    <t>IN YOUR LAGNA CHART</t>
  </si>
  <si>
    <t>7th Lord Mars is 6th from it.</t>
  </si>
  <si>
    <t>Venus is 6th from 7th house.</t>
  </si>
  <si>
    <t>IN YOUR NAVAMANSHA (Spouse) CHART</t>
  </si>
  <si>
    <t>Ascendent lord moon in 6th house.</t>
  </si>
  <si>
    <t>Exalted Sun in 10th house.</t>
  </si>
  <si>
    <t>Jupiter is in Kendra.</t>
  </si>
  <si>
    <t>You will have to select a Mangalik Girl.</t>
  </si>
  <si>
    <t>IN YOUR HORA CHART</t>
  </si>
  <si>
    <t>Only MIN YOUR LAGNA CHART</t>
  </si>
  <si>
    <t>Only Mercury is well placed.</t>
  </si>
  <si>
    <t>Rahu-Ketu in 7/1 All bad.</t>
  </si>
  <si>
    <t>Lagna has 12th lord very powerful in 12th house.</t>
  </si>
  <si>
    <t>You will have to make tremendous efforts for livelihood.</t>
  </si>
  <si>
    <t>Riches of your dream are not in the horoscope. ercury is well placed.</t>
  </si>
  <si>
    <t xml:space="preserve">Riches of your dream are not in the horoscope. </t>
  </si>
  <si>
    <t>Pearl</t>
  </si>
  <si>
    <t>Red Coral (Moonga)</t>
  </si>
  <si>
    <t xml:space="preserve">Yellow Topaz </t>
  </si>
  <si>
    <t>From 26 Feb 2010 u will have Mercury Dasha....End of Saturn Mahadasha.</t>
  </si>
  <si>
    <t>However U will enjoy Sade sati by then.</t>
  </si>
  <si>
    <t>Practically we have to ENJOY this suffering till our last breath.</t>
  </si>
  <si>
    <t>HEALTH &amp; PERSONALITY</t>
  </si>
  <si>
    <t>Lagn a lord is the most powerful as per Shadbala.</t>
  </si>
  <si>
    <t>It is in 12th house is bad.</t>
  </si>
  <si>
    <t>U are healthy and stout.</t>
  </si>
  <si>
    <t>U will be introvert.</t>
  </si>
  <si>
    <t>SPOUS E</t>
  </si>
  <si>
    <t>Rahu Ketu in1/7</t>
  </si>
  <si>
    <t>7th lord is in 8th from 7th house.</t>
  </si>
  <si>
    <t>8th lord Sun is in 7th house.</t>
  </si>
  <si>
    <t>Mars aspect 7th house.</t>
  </si>
  <si>
    <t>These all are bad positions.</t>
  </si>
  <si>
    <t>Exalt ed Jupiter in 7th house will save respect and happiness.</t>
  </si>
  <si>
    <t>In Navamsa exalted Mercury in 7th aspects the Ascendent with Neecha sight.</t>
  </si>
  <si>
    <t>In Navamsa Venus in kendra is good.</t>
  </si>
  <si>
    <t>U will have a married life with lots of trouble.</t>
  </si>
  <si>
    <t>I must caution u to avoid arguments with ur spouce on minor things due to Rahu Ketu axis is on 1st-7th house in Lagna chart. This axis causes quarrels between marital partners on baseless things as a result of momentary impulse.</t>
  </si>
  <si>
    <t>EDUCATI ON</t>
  </si>
  <si>
    <t>4th lord in own house. 5th lord in 6th house.</t>
  </si>
  <si>
    <t>U will get education devoid of technical and professinal skills.</t>
  </si>
  <si>
    <t>JOB, INCOME &amp; LIVELIHOOD</t>
  </si>
  <si>
    <t>Mars in 4th house, Jupiter in 8th house.</t>
  </si>
  <si>
    <t>4th lord in own house. 10th lord in 6th house.</t>
  </si>
  <si>
    <t>U will get a middle order government job.Quite possibly a teacher due to Guru surya yoga.</t>
  </si>
  <si>
    <t xml:space="preserve">Ur income will be good. </t>
  </si>
  <si>
    <t>9th lord and Sun too are in movable signs.</t>
  </si>
  <si>
    <t>12th lord Moon in Common (dwiswabhav) sign.</t>
  </si>
  <si>
    <t>Jupiter in Kendra.</t>
  </si>
  <si>
    <t>All indicate that U will settle abroad.</t>
  </si>
  <si>
    <t>9th and 12th house are in movable signs.</t>
  </si>
  <si>
    <t>Following are the remedies for saturn:</t>
  </si>
  <si>
    <t>1) Recite Rudram Chamakam - It is to be recited daily</t>
  </si>
  <si>
    <t>morning after taking a bath. One has to face towards</t>
  </si>
  <si>
    <t>east and has to recite 11 times.</t>
  </si>
  <si>
    <t>2) Mantra - There are two mantras. First one is "Om</t>
  </si>
  <si>
    <t>Sham Shanischaraya Namah" and Second one "Om Praam</t>
  </si>
  <si>
    <t>Preem Prome Sah Shanicharyah Namah". Generally one of</t>
  </si>
  <si>
    <t>them will suit most of the people. Recite the one for</t>
  </si>
  <si>
    <t>couple of days and you will get to know which one</t>
  </si>
  <si>
    <t>suits you best.</t>
  </si>
  <si>
    <t>3) Stone - Wear Blue Sapphire (Neelam) in right hand</t>
  </si>
  <si>
    <t>middle finger on saturday. Before wearing neelam,</t>
  </si>
  <si>
    <t>check your horoscope to see whether the native can</t>
  </si>
  <si>
    <t>wear it or not. It is very reactive stone and should</t>
  </si>
  <si>
    <t>be worn *only after testing*</t>
  </si>
  <si>
    <t>4) Lighting Lamp - This Remedy must be done outside</t>
  </si>
  <si>
    <t>home. Light two lamps in mustard (sarson) oil. One in</t>
  </si>
  <si>
    <t>front of shanidev and the second one near peepal tree.</t>
  </si>
  <si>
    <t>The lamps should be lighter after sunset.</t>
  </si>
  <si>
    <t>5) Dontaion - Donate 1.25 Kg black pulse (kaale Urad)</t>
  </si>
  <si>
    <t>and 1.25 metre black cloth on saturday. Do it seven</t>
  </si>
  <si>
    <t>times (i.e. 7 Saturdays).</t>
  </si>
  <si>
    <t>6) Worship Lord Naryana - "Om Namo Naryanaya" is the</t>
  </si>
  <si>
    <t xml:space="preserve">mantra. Recite it 108 times. </t>
  </si>
  <si>
    <t>http ://horoscopes.lovetoknow.com/L inda_Goodman_Love_Signs</t>
  </si>
  <si>
    <t>You asked about Time of Birth of Children</t>
  </si>
  <si>
    <t xml:space="preserve">DURING THIS AUSPICIOUS PERIOD THERE IS LIKELIHOOD OF BIRTH OF YOUR CHILDREN. </t>
  </si>
  <si>
    <t>BERYL</t>
  </si>
  <si>
    <t>Gomed is Hessonite.</t>
  </si>
  <si>
    <t>Vrishabha</t>
  </si>
  <si>
    <t>Mithuna</t>
  </si>
  <si>
    <t>Karaka</t>
  </si>
  <si>
    <t>Simha</t>
  </si>
  <si>
    <t>Kanya</t>
  </si>
  <si>
    <t>Thula</t>
  </si>
  <si>
    <t>Vrishchika</t>
  </si>
  <si>
    <t>Dhanu</t>
  </si>
  <si>
    <t>Makara</t>
  </si>
  <si>
    <t>Kumbha</t>
  </si>
  <si>
    <t>Meena</t>
  </si>
  <si>
    <t xml:space="preserve">Amethyst is the purple variety of quartz </t>
  </si>
  <si>
    <t>5th and 10th Lord Venus is Exalted in 3rd house.</t>
  </si>
  <si>
    <t>Lagna lord Saturn is weak.</t>
  </si>
  <si>
    <t>Very powerful Mars [ lord of 4th (house of mother, vehicle, homes), and 11th (hpuse of Income)] in 10th house.</t>
  </si>
  <si>
    <t>Ascendent lord Mercury in10th house. Rahu Ketu axis is in 4/10.</t>
  </si>
  <si>
    <t>You will have quarrelsome, mostle ill and trouble causing wife.</t>
  </si>
  <si>
    <t>Only Sun is well placed.</t>
  </si>
  <si>
    <t>U are extravagent.</t>
  </si>
  <si>
    <t>IN YOUR SAPTAMSHA ( Children) CHART</t>
  </si>
  <si>
    <t>Ascendent Lord Mars in 8th house bad.</t>
  </si>
  <si>
    <t>Mercuryand Jupiter are in Kendra… u will be blessed with one Son and One daughter. Ur children will be hostile towards U.</t>
  </si>
  <si>
    <t>IN YOUR DASHAMSA ( Career_Great Success) CHART</t>
  </si>
  <si>
    <t>Jupiter, Mercury, saturn and Moon are in Kendra.</t>
  </si>
  <si>
    <t>U will be successful in all ventures u peep in.</t>
  </si>
  <si>
    <t>VIMSHOTARI DASHA OBSERVATION</t>
  </si>
  <si>
    <t>From 11 May 2009 Venus Jupiter Dasha will run…It will be cream time of ur life.</t>
  </si>
  <si>
    <t>AS PER SHADBALA COMPUTATION</t>
  </si>
  <si>
    <t>Mars is the most powerful.</t>
  </si>
  <si>
    <t>Venus &amp; Moon are the most powerful.</t>
  </si>
  <si>
    <t xml:space="preserve">You are a powerful, well established person having very large land bank in ur ownership. </t>
  </si>
  <si>
    <t>Below are the conditions to become doctor:</t>
  </si>
  <si>
    <t>1. The influence of technical planets upon the fifth house.</t>
  </si>
  <si>
    <t>2. The relation between sixth(medical science),fifth (education),tenth(profession) and twelfth(hospital). Tenth house must have technical influence.</t>
  </si>
  <si>
    <t>3. The moon must be afflicted with the influence of jupiter as well. Afflicted moon signify poison and the influence of jupiter means the poison which is used for the welfare of human kind say medicine.</t>
  </si>
  <si>
    <t>4 . All these houses must have the influence of jupiter somehow or the other to tell that the work is related with human welfare.</t>
  </si>
  <si>
    <t xml:space="preserve">5. Ketu also becomes important because it is the significator of intution which is required in diagnosis for a good doctor. </t>
  </si>
  <si>
    <t>RUBY</t>
  </si>
  <si>
    <t>Despite born as grandson of Smt. Indira Gandhi Varun is in Jail.</t>
  </si>
  <si>
    <t>Ram was sent to VANWAAS in the same muhurt of his RAJYABHISHEK.</t>
  </si>
  <si>
    <t>Rajkumar can not dictate and monitor the destiny.</t>
  </si>
  <si>
    <t xml:space="preserve">HOWEVER I SUGGEST U NOT TO EXAGGERATE THE TEMPORARY MINOR SETBACKS IF U HAVE. </t>
  </si>
  <si>
    <t>URTHER plz visit the following site to understand Saturn Sade Sati without fear and favour.....</t>
  </si>
  <si>
    <t>http://www.chakra pani.com/articles/articlewhati ssadesati.htm</t>
  </si>
  <si>
    <t>FURTHER plz visit the following site to understand Saturn Sade Sati without fear and favour.....</t>
  </si>
  <si>
    <t>by observing ur questions for a pretty long spell of time i advise....</t>
  </si>
  <si>
    <t>Read Durga Kavach in the morning and evening.</t>
  </si>
  <si>
    <t xml:space="preserve">Coz everything is ok but u r unable to take them as ok. </t>
  </si>
  <si>
    <t>CONSTUCTING ponds, white colored articles, wheat, fish and other water creatures, silk garments, brilliant things , clean crystal and soft and velvety clothes, gems, pearls</t>
  </si>
  <si>
    <t>Ur business will be related to Moon</t>
  </si>
  <si>
    <t>http://www.geomancy.net /resources/forum-archive/11765 .htm</t>
  </si>
  <si>
    <t>http://www.selfgrowth. com/articles/Pendulum_Dowsing_ -_Easy_To_Learn_Techniques.htm l</t>
  </si>
  <si>
    <t xml:space="preserve">www.luckycat.com/fengshui /page25-10.htm </t>
  </si>
  <si>
    <t>U may visit Vastu Pendulum</t>
  </si>
  <si>
    <t>Wear Ruby.</t>
  </si>
  <si>
    <t>At sun rise offer water ARGHYA TO sUN.</t>
  </si>
  <si>
    <t>sUN NEECHA IN 7TH IN LAGNA CHART. sUN mAHADASHA IS RUNNING.</t>
  </si>
  <si>
    <t>IT IS FOR A WHILE VERY GOOD TIME AHEAD.</t>
  </si>
  <si>
    <t>sUN DASHA WILL BE RUNNING TILL 5 aUGUST 2010.</t>
  </si>
  <si>
    <t>UR CHART DOES NOT SHOW THAT MUCH TROUBLE AS U R EXPRESSING.</t>
  </si>
  <si>
    <t xml:space="preserve">HOPE AND BELIEF ARE KEY TO HAPPINESS. HOPE IS THE NAME OF THE GOD. </t>
  </si>
  <si>
    <t>It should be studded in silver ring or pendant.</t>
  </si>
  <si>
    <t>Wash with water and unboiled milk. To be worn in the middle finger of right hand. At the time of wearing one should be chanting Mantra: "Om Ram Rahuve Namah Om", Donate sesame seeds, mustard oil, blue cloth, blanket and money as much as possible to a Brahmin or priest and horse should be fed with grass and milk offered to a snake.</t>
  </si>
  <si>
    <t>Day for wearing: Saturday</t>
  </si>
  <si>
    <t>Plz visit the following site ang know for urself.----------</t>
  </si>
  <si>
    <t xml:space="preserve">http://www. truthstar.com/astrology/kalsar pa.asp </t>
  </si>
  <si>
    <t>Career pertaining Venus</t>
  </si>
  <si>
    <t>Vehicles, Amusement parks, Gems and jewlerry,</t>
  </si>
  <si>
    <t>white luxury items, poetry, music and singing are few to name.</t>
  </si>
  <si>
    <t>Har shanivaar ko Opeepal ke ped ke neeche Jal chadhave.</t>
  </si>
  <si>
    <t xml:space="preserve">Aur Long aur shakkar bikhere. </t>
  </si>
  <si>
    <t>So it needs a detailed analysis.</t>
  </si>
  <si>
    <t>There Shadbala powers are also important.</t>
  </si>
  <si>
    <t>http://www.babyhopes.com/ovulation-calendar.html</t>
  </si>
  <si>
    <t xml:space="preserve">Mesha </t>
  </si>
  <si>
    <t xml:space="preserve">Mesha  Rasi ; Simha and Dhanu Rasi are at Trikona from Mesha </t>
  </si>
  <si>
    <t>Vrishabha Rasi ; Kanya and Makara Rasi are at Trikona from Vrishabha</t>
  </si>
  <si>
    <t>Mithuna Rasi ; Thula and Kumbha Rasi are at Trikona from Mithuna</t>
  </si>
  <si>
    <t>Karaka Rasi ; Vrishchika and Meena Rasi are at Trikona from Karaka</t>
  </si>
  <si>
    <t>Simha Rasi ; Dhanu and Mesha  Rasi are at Trikona from Simha</t>
  </si>
  <si>
    <t>Kanya Rasi ; Makara and Vrishabha Rasi are at Trikona from Kanya</t>
  </si>
  <si>
    <t>Thula Rasi ; Kumbha and Mithuna Rasi are at Trikona from Thula</t>
  </si>
  <si>
    <t>Vrishchika Rasi ; Meena and Karaka Rasi are at Trikona from Vrishchika</t>
  </si>
  <si>
    <t>Dhanu Rasi ; Mesha  and Simha Rasi are at Trikona from Dhanu</t>
  </si>
  <si>
    <t>Makara Rasi ; Vrishabha and Kanya Rasi are at Trikona from Makara</t>
  </si>
  <si>
    <t>Kumbha Rasi ; Mithuna and Thula Rasi are at Trikona from Kumbha</t>
  </si>
  <si>
    <t>Meena Rasi ; Karaka and Vrishchika Rasi are at Trikona from Meena</t>
  </si>
  <si>
    <t>SATURN</t>
  </si>
  <si>
    <t>MERCURY</t>
  </si>
  <si>
    <t>DURING THIS AUSPICIOUS PERIOD THERE IS LIKELIHOOD OF YOUR GETTING MARRIED.</t>
  </si>
  <si>
    <t xml:space="preserve">DURING THIS AUSPICIOUS PERIOD THERE IS LIKELIHOOD OF your Settling Abroad/ Time of Going Abroad/ Career establishment Abroad </t>
  </si>
  <si>
    <t>You will take experience POSITIVE changes in your career when radical Jupiter (Guru) transits Mesha or Simha or Dhanu OR Dhanu or Mesha or Simha</t>
  </si>
  <si>
    <t>You will take experience NEGATIVE changes in your career when radical Saturn (Shani) transits Mesha or Simha or Dhanu OR Dhanu or Mesha or Simha</t>
  </si>
  <si>
    <t>You asked about Settling Abroad/ Time of Going Abroad/ Career establishment Abroad</t>
  </si>
  <si>
    <t>Q</t>
  </si>
  <si>
    <t>Y</t>
  </si>
  <si>
    <t>You asked about time of marriage</t>
  </si>
  <si>
    <t>DURING THIS AUSPICIOUS PERIOD THERE IS LIKELIHOOD OF your getting married.</t>
  </si>
  <si>
    <t xml:space="preserve">I must caution u to avoid arguments with your spouse on minor things due to Rahu Ketu axis is on 1st-7th house in Lagna chart. This axis causes quarrels between marital partners on baseless things as a result of momentary impulse. </t>
  </si>
  <si>
    <t>He has Rahu Ketu in 1/7</t>
  </si>
  <si>
    <t xml:space="preserve">I must caution u to avoid arguments with Your spouse on minor things due to Rahu Ketu axis is on 1st-7th house in Lagna chart. This axis causes quarrels between marital partners on baseless things as a result of momentary impulse. </t>
  </si>
  <si>
    <t>To assess nullification of Kuja dosha depends on all inimical planets location in 1,4,7,8 and 12 house both Lagna wise and Moon wise. The concerned planets are Mars, Saturn, Rahu, Ketu and Sun.</t>
  </si>
  <si>
    <t>Your business will be related to SATURN</t>
  </si>
  <si>
    <t>Life saving drugs , living by agriculture , travelling through forests and over mountains , goats and the like , buffalos and the like , iron,</t>
  </si>
  <si>
    <t>7th lord L</t>
  </si>
  <si>
    <t>7th lord N</t>
  </si>
  <si>
    <t>10th lord L</t>
  </si>
  <si>
    <t>10th lord N</t>
  </si>
  <si>
    <t>4th lord L</t>
  </si>
  <si>
    <t>4th lord N</t>
  </si>
  <si>
    <t xml:space="preserve">DURING THIS AUSPICIOUS PERIOD THERE IS LIKELIHOOD OF YOUR BUILDING/ PURCHASING A NEW HOUSE </t>
  </si>
  <si>
    <t>5th lord L</t>
  </si>
  <si>
    <t>5th lord N</t>
  </si>
  <si>
    <t>9th lord L</t>
  </si>
  <si>
    <t>9th lord N</t>
  </si>
  <si>
    <t>pokhraj</t>
  </si>
  <si>
    <t>moti</t>
  </si>
  <si>
    <t>munga</t>
  </si>
  <si>
    <t>chunnu</t>
  </si>
  <si>
    <t>raj</t>
  </si>
  <si>
    <t>pukhraj</t>
  </si>
  <si>
    <t>manik</t>
  </si>
  <si>
    <t>In order of Auspiousness the muhurts for starting journey from Dungarpur are</t>
  </si>
  <si>
    <t>8-May From 10.05 AM to 12.37 AM POINTS 125</t>
  </si>
  <si>
    <t>9-May From 4.40 A M to 6.00 AM POINTS 90</t>
  </si>
  <si>
    <t>10-May From 10.46 A M to 11.29 AM POINTS 150</t>
  </si>
  <si>
    <t>In order of Auspiousness the muhurts for REJOINING are</t>
  </si>
  <si>
    <t>10-May From 2.52 PM to 02.58 PM AND From 3.08 PM to 03.49 PM POINTS 140</t>
  </si>
  <si>
    <t>9-May From 10.54 A M to 11.01 AM AND From 04.11 PM to 04.44 PM POINTS 70</t>
  </si>
  <si>
    <t>Saturn</t>
  </si>
  <si>
    <t>Presently Guru is having transit in Mesha From 05 May 2011 to 04 May 2012.</t>
  </si>
  <si>
    <t>Please include DATE, PLACE AND TIME OF BIRTH so that a chart can be generated and your query can be answered in truly astrological sense.</t>
  </si>
  <si>
    <t>You may tell me the place of querry with time so that Prasna Kundli can be prepared in case of the above data not available.</t>
  </si>
  <si>
    <t>MUHURTS IN ORDER OF AUSPIOUSNESS ARE...</t>
  </si>
  <si>
    <t>TOPAZ</t>
  </si>
  <si>
    <t>Your lucky stones are</t>
  </si>
  <si>
    <t>http://www.google.co.in/search?q=coral+time+of+wear&amp;ie=utf-8&amp;oe=utf-8&amp;aq=t&amp;rls=org.mozilla:en-US:official&amp;client=firefox-a</t>
  </si>
  <si>
    <t>TIME</t>
  </si>
  <si>
    <t>Ancestor&amp;apos;s Curse (Pitra-dosh &amp; Remedies)</t>
  </si>
  <si>
    <t>www.scribd.com/doc/12807330/Ancestors-Curse-Pitradosh-Remedies</t>
  </si>
  <si>
    <t>http://www.vedicvision.com/page6/page10/Cancer.html</t>
  </si>
  <si>
    <t>http://astrology.raftaar.in/Astro/Bhairav-Prashnavali</t>
  </si>
  <si>
    <t>Bhairav-Prashnavali</t>
  </si>
  <si>
    <t>TRANSITS ANALYSIS</t>
  </si>
  <si>
    <t>http://www.jewellery-lounge.com/hatha-jodi.html</t>
  </si>
  <si>
    <t>HATHA JODI</t>
  </si>
  <si>
    <t>http://www.google.co.in/search?q=HATHA+JODI++ASTROLOGY&amp;ie=utf-8&amp;oe=utf-8&amp;aq=t&amp;rls=org.mozilla:en-US:official&amp;client=firefox-a</t>
  </si>
  <si>
    <t>http://www.mishrapradeep.com/ShowPage.aspx?str=Totke</t>
  </si>
  <si>
    <t>TOTKE</t>
  </si>
  <si>
    <t>http://www.astrologybb.com/BABY%20NAMES.htm</t>
  </si>
  <si>
    <t>BABY NAMES</t>
  </si>
  <si>
    <t>http://www.paulsadowski.com/Numbers.asp</t>
  </si>
  <si>
    <t>NUMEROLOGY</t>
  </si>
  <si>
    <t>SHUKRA</t>
  </si>
  <si>
    <t>http://www.vedicscholar.com/tresult.php?msign=Leo</t>
  </si>
  <si>
    <t>CHANDRA</t>
  </si>
  <si>
    <t>Presently SATURN is having transit in DHANU 9</t>
  </si>
  <si>
    <t>Presently Guru is having transit in LIBRA/THULA</t>
  </si>
  <si>
    <r>
      <t>The slow-moving planet finally leaves Scorpio to move into Sagittarius on 26</t>
    </r>
    <r>
      <rPr>
        <vertAlign val="superscript"/>
        <sz val="11"/>
        <color theme="1"/>
        <rFont val="Calibri"/>
        <family val="2"/>
        <scheme val="minor"/>
      </rPr>
      <t>th</t>
    </r>
    <r>
      <rPr>
        <sz val="11"/>
        <color theme="1"/>
        <rFont val="Calibri"/>
        <family val="2"/>
        <scheme val="minor"/>
      </rPr>
      <t xml:space="preserve"> Jan 2017.  Saturn, the biggest Cosmic Player moves to Sagittarius on 26</t>
    </r>
    <r>
      <rPr>
        <vertAlign val="superscript"/>
        <sz val="11"/>
        <color theme="1"/>
        <rFont val="Calibri"/>
        <family val="2"/>
        <scheme val="minor"/>
      </rPr>
      <t>th</t>
    </r>
    <r>
      <rPr>
        <sz val="11"/>
        <color theme="1"/>
        <rFont val="Calibri"/>
        <family val="2"/>
        <scheme val="minor"/>
      </rPr>
      <t xml:space="preserve"> Jan 2017 at 18:13 hours and Year 2017, 2018, 2019 and up to 24th Jan 2020 and finally transits to its own sign Capricorn on 25</t>
    </r>
    <r>
      <rPr>
        <vertAlign val="superscript"/>
        <sz val="11"/>
        <color theme="1"/>
        <rFont val="Calibri"/>
        <family val="2"/>
        <scheme val="minor"/>
      </rPr>
      <t>th</t>
    </r>
    <r>
      <rPr>
        <sz val="11"/>
        <color theme="1"/>
        <rFont val="Calibri"/>
        <family val="2"/>
        <scheme val="minor"/>
      </rPr>
      <t xml:space="preserve"> Jan 2020</t>
    </r>
  </si>
  <si>
    <t>JUPITER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</si>
</sst>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rgb="FFFF0000"/>
      <name val="Calibri"/>
      <family val="2"/>
      <scheme val="minor"/>
    </font>
    <font>
      <sz val="11"/>
      <color rgb="FFFF0000"/>
      <name val="Arial Black"/>
      <family val="2"/>
    </font>
    <font>
      <sz val="11"/>
      <color theme="1"/>
      <name val="Arial Black"/>
      <family val="2"/>
    </font>
    <font>
      <u/>
      <sz val="11"/>
      <color theme="10"/>
      <name val="Calibri"/>
      <family val="2"/>
    </font>
    <font>
      <vertAlign val="superscrip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23">
    <xf numFmtId="0" fontId="0" fillId="0" borderId="0" xfId="0"/>
    <xf numFmtId="16" fontId="0" fillId="0" borderId="0" xfId="0" applyNumberFormat="1"/>
    <xf numFmtId="0" fontId="0" fillId="0" borderId="0" xfId="0" applyAlignment="1">
      <alignment horizontal="left"/>
    </xf>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4" fillId="0" borderId="0" xfId="1" applyAlignment="1" applyProtection="1"/>
    <xf numFmtId="0" fontId="1" fillId="2" borderId="1" xfId="0" applyFont="1" applyFill="1" applyBorder="1" applyAlignment="1">
      <alignment horizontal="center"/>
    </xf>
    <xf numFmtId="0" fontId="0" fillId="3" borderId="1" xfId="0" applyFill="1" applyBorder="1"/>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hyperlink" Target="http://www.scribd.com/doc/12807330/Ancestors-Curse-Pitradosh-Remedi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astrology.raftaar.in/Astro/Bhairav-Prashnaval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
  <sheetViews>
    <sheetView topLeftCell="G1" workbookViewId="0">
      <selection activeCell="G15" sqref="G15"/>
    </sheetView>
  </sheetViews>
  <sheetFormatPr defaultRowHeight="15" x14ac:dyDescent="0.25"/>
  <sheetData>
    <row r="1" spans="1:16"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6"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6"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6"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6"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6"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6"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6"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6" x14ac:dyDescent="0.25">
      <c r="A9">
        <v>9</v>
      </c>
      <c r="B9" s="2" t="s">
        <v>251</v>
      </c>
      <c r="D9" s="2" t="str">
        <f t="shared" si="0"/>
        <v>Dhanu or Mesha  or Simha</v>
      </c>
      <c r="E9" t="s">
        <v>175</v>
      </c>
      <c r="F9" t="s">
        <v>176</v>
      </c>
      <c r="G9" t="s">
        <v>177</v>
      </c>
      <c r="H9" t="s">
        <v>178</v>
      </c>
      <c r="I9" t="s">
        <v>242</v>
      </c>
      <c r="J9" t="s">
        <v>168</v>
      </c>
      <c r="K9" t="s">
        <v>169</v>
      </c>
      <c r="L9" t="s">
        <v>170</v>
      </c>
      <c r="M9" t="s">
        <v>171</v>
      </c>
    </row>
    <row r="10" spans="1:16"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6"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6"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6" x14ac:dyDescent="0.25">
      <c r="A13" s="4">
        <v>9</v>
      </c>
      <c r="B13" s="4">
        <v>1</v>
      </c>
      <c r="C13" t="str">
        <f>IF(A13=1,$B$1,IF(A13=2,$B$2,IF(A13=3,$B$3,IF(A13=4,$B$4,IF(A13=5,$B$5,IF(A13=6,$B$6,IF(A13=7,$B$7,IF(A13=8,$B$8,IF(A13=9,$B$9,IF(A13=10,$B$10,IF(A13=11,$B$11,$B$12)))))))))))</f>
        <v>Dhanu Rasi ; Mesha  and Simha Rasi are at Trikona from Dhanu</v>
      </c>
      <c r="D13" t="str">
        <f>IF(B13=1,$B$1,IF(B13=2,$B$2,IF(B13=3,$B$3,IF(B13=4,$B$4,IF(B13=5,$B$5,IF(B13=6,$B$6,IF(B13=7,$B$7,IF(B13=8,$B$8,IF(B13=9,$B$9,IF(B13=10,$B$10,IF(B13=11,$B$11,$B$12)))))))))))</f>
        <v xml:space="preserve">Mesha  Rasi ; Simha and Dhanu Rasi are at Trikona from Mesha </v>
      </c>
    </row>
    <row r="14" spans="1:16" x14ac:dyDescent="0.25">
      <c r="A14" s="4" t="s">
        <v>297</v>
      </c>
      <c r="B14" s="4" t="str">
        <f>A14</f>
        <v>Saturn</v>
      </c>
      <c r="C14" t="str">
        <f>IF(A13=1,$D$1,IF(A13=2,$D$2,IF(A13=3,$D$3,IF(A13=4,$D$4,IF(A13=5,$D$5,IF(A13=6,$D$6,IF(A13=7,$D$7,IF(A13=8,$D$8,IF(A13=9,$D$9,IF(A13=10,$D$10,IF(A13=11,$D$11,$D$12)))))))))))</f>
        <v>Dhanu or Mesha  or Simha</v>
      </c>
      <c r="D14" t="str">
        <f>IF(B13=1,$D$1,IF(B13=2,$D$2,IF(B13=3,$D$3,IF(B13=4,$D$4,IF(B13=5,$D$5,IF(B13=6,$D$6,IF(B13=7,$D$7,IF(B13=8,$D$8,IF(B13=9,$D$9,IF(B13=10,$D$10,IF(B13=11,$D$11,$D$12)))))))))))</f>
        <v>Mesha  or Simha or Dhanu</v>
      </c>
    </row>
    <row r="15" spans="1:16" x14ac:dyDescent="0.25">
      <c r="A15" s="4" t="s">
        <v>272</v>
      </c>
      <c r="B15" s="4" t="s">
        <v>273</v>
      </c>
    </row>
    <row r="16" spans="1:16" ht="18.75" x14ac:dyDescent="0.4">
      <c r="A16" s="5" t="s">
        <v>264</v>
      </c>
      <c r="B16" s="6"/>
      <c r="C16" s="6"/>
      <c r="D16" s="6"/>
      <c r="E16" s="6"/>
      <c r="F16" s="6"/>
      <c r="G16" s="6"/>
      <c r="H16" s="6"/>
      <c r="I16" s="6"/>
      <c r="J16" s="6"/>
      <c r="K16" s="6"/>
      <c r="L16" s="6"/>
      <c r="M16" s="6"/>
      <c r="N16" s="6"/>
      <c r="O16" s="6"/>
      <c r="P16" s="6"/>
    </row>
    <row r="17" spans="1:16" ht="18.75" x14ac:dyDescent="0.4">
      <c r="A17" s="5" t="str">
        <f>CONCATENATE("In Lagna chart the 7th house lord  ",$A$14," is situated in ",C13)</f>
        <v>In Lagna chart the 7th house lord  Saturn is situated in Dhanu Rasi ; Mesha  and Simha Rasi are at Trikona from Dhanu</v>
      </c>
      <c r="B17" s="6"/>
      <c r="C17" s="6"/>
      <c r="D17" s="6"/>
      <c r="E17" s="6"/>
      <c r="F17" s="6"/>
      <c r="G17" s="6"/>
      <c r="H17" s="6"/>
      <c r="I17" s="6"/>
      <c r="J17" s="6"/>
      <c r="K17" s="6"/>
      <c r="L17" s="6"/>
      <c r="M17" s="6"/>
      <c r="N17" s="6"/>
      <c r="O17" s="6"/>
      <c r="P17" s="6"/>
    </row>
    <row r="18" spans="1:16" ht="18.75" x14ac:dyDescent="0.4">
      <c r="A18" s="5" t="str">
        <f>CONCATENATE("In Navamansha chart the 7th house lord  ",B14," is situated in ",D13)</f>
        <v xml:space="preserve">In Navamansha chart the 7th house lord  Saturn is situated in Mesha  Rasi ; Simha and Dhanu Rasi are at Trikona from Mesha </v>
      </c>
      <c r="B18" s="6"/>
      <c r="C18" s="6"/>
      <c r="D18" s="6"/>
      <c r="E18" s="6"/>
      <c r="F18" s="6"/>
      <c r="G18" s="6"/>
      <c r="H18" s="6"/>
      <c r="I18" s="6"/>
      <c r="J18" s="6"/>
      <c r="K18" s="6"/>
      <c r="L18" s="6"/>
      <c r="M18" s="6"/>
      <c r="N18" s="6"/>
      <c r="O18" s="6"/>
      <c r="P18" s="6"/>
    </row>
    <row r="19" spans="1:16" ht="18.75" x14ac:dyDescent="0.4">
      <c r="A19" s="5" t="str">
        <f>CONCATENATE("You will experience POSITIVE changes regarding matters related to marriage when radical Jupiter (Guru) transits ",$C$14," OR ",$D$14)</f>
        <v>You will experience POSITIVE changes regarding matters related to marriage when radical Jupiter (Guru) transits Dhanu or Mesha  or Simha OR Mesha  or Simha or Dhanu</v>
      </c>
      <c r="B19" s="6"/>
      <c r="C19" s="6"/>
      <c r="D19" s="6"/>
      <c r="E19" s="6"/>
      <c r="F19" s="6"/>
      <c r="G19" s="6"/>
      <c r="H19" s="6"/>
      <c r="I19" s="6"/>
      <c r="J19" s="6"/>
      <c r="K19" s="6"/>
      <c r="L19" s="6"/>
      <c r="M19" s="6"/>
      <c r="N19" s="6"/>
      <c r="O19" s="6"/>
      <c r="P19" s="6"/>
    </row>
    <row r="20" spans="1:16" ht="18.75" x14ac:dyDescent="0.4">
      <c r="A20" s="5" t="str">
        <f>CONCATENATE("You will experience NEGATIVE changes regarding matters related to marriage when radical Saturn (Shani) transits ",$C$14," OR ",$D$14)</f>
        <v>You will experience NEGATIVE changes regarding matters related to marriage when radical Saturn (Shani) transits Dhanu or Mesha  or Simha OR Mesha  or Simha or Dhanu</v>
      </c>
      <c r="B20" s="6"/>
      <c r="C20" s="6"/>
      <c r="D20" s="6"/>
      <c r="E20" s="6"/>
      <c r="F20" s="6"/>
      <c r="G20" s="6"/>
      <c r="H20" s="6"/>
      <c r="I20" s="6"/>
      <c r="J20" s="6"/>
      <c r="K20" s="6"/>
      <c r="L20" s="6"/>
      <c r="M20" s="6"/>
      <c r="N20" s="6"/>
      <c r="O20" s="6"/>
      <c r="P20" s="6"/>
    </row>
    <row r="21" spans="1:16" ht="18.75" x14ac:dyDescent="0.4">
      <c r="A21" s="5" t="str">
        <f>CONCATENATE("Your marriage will take place when radical Jupiter (Guru) transits ",$C$14," OR ",$D$14)</f>
        <v>Your marriage will take place when radical Jupiter (Guru) transits Dhanu or Mesha  or Simha OR Mesha  or Simha or Dhanu</v>
      </c>
      <c r="B21" s="6"/>
      <c r="C21" s="6"/>
      <c r="D21" s="6"/>
      <c r="E21" s="6"/>
      <c r="F21" s="6"/>
      <c r="G21" s="6"/>
      <c r="H21" s="6"/>
      <c r="I21" s="6"/>
      <c r="J21" s="6"/>
      <c r="K21" s="6"/>
      <c r="L21" s="6"/>
      <c r="M21" s="6"/>
      <c r="N21" s="6"/>
      <c r="O21" s="6"/>
      <c r="P21" s="6"/>
    </row>
    <row r="22" spans="1:16" ht="18.75" x14ac:dyDescent="0.4">
      <c r="A22" s="5" t="s">
        <v>298</v>
      </c>
      <c r="B22" s="6"/>
      <c r="C22" s="6"/>
      <c r="D22" s="6"/>
      <c r="E22" s="6"/>
      <c r="F22" s="6"/>
      <c r="G22" s="6"/>
      <c r="H22" s="6"/>
      <c r="I22" s="6"/>
      <c r="J22" s="6"/>
      <c r="K22" s="6"/>
      <c r="L22" s="6"/>
      <c r="M22" s="6"/>
      <c r="N22" s="6"/>
      <c r="O22" s="6"/>
      <c r="P22" s="6"/>
    </row>
    <row r="23" spans="1:16" ht="18.75" x14ac:dyDescent="0.4">
      <c r="A23" s="5" t="s">
        <v>265</v>
      </c>
      <c r="B23" s="6"/>
      <c r="C23" s="6"/>
      <c r="D23" s="6"/>
      <c r="E23" s="6"/>
      <c r="F23" s="6"/>
      <c r="G23" s="6"/>
      <c r="H23" s="6"/>
      <c r="I23" s="6"/>
      <c r="J23" s="6"/>
      <c r="K23" s="6"/>
      <c r="L23" s="6"/>
      <c r="M23" s="6"/>
      <c r="N23" s="6"/>
      <c r="O23" s="6"/>
      <c r="P23" s="6"/>
    </row>
    <row r="26" spans="1:16" x14ac:dyDescent="0.25">
      <c r="I26" s="3" t="s">
        <v>15</v>
      </c>
    </row>
    <row r="27" spans="1:16" x14ac:dyDescent="0.25">
      <c r="A27" t="s">
        <v>42</v>
      </c>
    </row>
    <row r="28" spans="1:16" x14ac:dyDescent="0.25">
      <c r="A28" t="s">
        <v>16</v>
      </c>
    </row>
    <row r="29" spans="1:16" x14ac:dyDescent="0.25">
      <c r="A29" t="s">
        <v>43</v>
      </c>
    </row>
    <row r="30" spans="1:16" x14ac:dyDescent="0.25">
      <c r="A30" t="s">
        <v>44</v>
      </c>
    </row>
    <row r="33" spans="1:1" x14ac:dyDescent="0.25">
      <c r="A33" t="s">
        <v>266</v>
      </c>
    </row>
    <row r="34" spans="1:1" x14ac:dyDescent="0.25">
      <c r="A34" t="s">
        <v>267</v>
      </c>
    </row>
    <row r="35" spans="1:1" x14ac:dyDescent="0.25">
      <c r="A35" t="s">
        <v>268</v>
      </c>
    </row>
    <row r="37" spans="1:1" x14ac:dyDescent="0.25">
      <c r="A37" t="s">
        <v>269</v>
      </c>
    </row>
    <row r="38" spans="1:1" x14ac:dyDescent="0.25">
      <c r="A38" t="s">
        <v>239</v>
      </c>
    </row>
    <row r="39" spans="1:1" x14ac:dyDescent="0.25">
      <c r="A39" t="s">
        <v>240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
  <sheetViews>
    <sheetView tabSelected="1" workbookViewId="0">
      <selection activeCell="F16" sqref="F16"/>
    </sheetView>
  </sheetViews>
  <sheetFormatPr defaultRowHeight="15" x14ac:dyDescent="0.25"/>
  <cols>
    <col min="1" max="1" width="12" customWidth="1"/>
    <col min="2" max="2" width="11.5703125" customWidth="1"/>
  </cols>
  <sheetData>
    <row r="1" spans="1:20"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20"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20"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20"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20"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20"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20"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20" ht="15.75" thickBot="1" x14ac:dyDescent="0.3">
      <c r="A8">
        <v>8</v>
      </c>
      <c r="B8" s="2" t="s">
        <v>250</v>
      </c>
      <c r="D8" s="2" t="str">
        <f t="shared" si="0"/>
        <v>Vrishchika or Meena or Karaka</v>
      </c>
      <c r="E8" t="s">
        <v>174</v>
      </c>
      <c r="F8" t="s">
        <v>175</v>
      </c>
      <c r="G8" t="s">
        <v>176</v>
      </c>
      <c r="H8" t="s">
        <v>177</v>
      </c>
      <c r="I8" t="s">
        <v>178</v>
      </c>
      <c r="J8" t="s">
        <v>242</v>
      </c>
      <c r="K8" t="s">
        <v>168</v>
      </c>
      <c r="L8" t="s">
        <v>169</v>
      </c>
      <c r="M8" t="s">
        <v>170</v>
      </c>
    </row>
    <row r="9" spans="1:20" ht="15.75" thickBot="1" x14ac:dyDescent="0.3">
      <c r="A9">
        <v>9</v>
      </c>
      <c r="B9" s="2" t="s">
        <v>251</v>
      </c>
      <c r="D9" s="2" t="str">
        <f t="shared" si="0"/>
        <v>Dhanu or Mesha  or Simha</v>
      </c>
      <c r="E9" t="s">
        <v>175</v>
      </c>
      <c r="F9" t="s">
        <v>176</v>
      </c>
      <c r="G9" t="s">
        <v>177</v>
      </c>
      <c r="H9" t="s">
        <v>178</v>
      </c>
      <c r="I9" t="s">
        <v>242</v>
      </c>
      <c r="J9" t="s">
        <v>168</v>
      </c>
      <c r="K9" t="s">
        <v>169</v>
      </c>
      <c r="L9" t="s">
        <v>170</v>
      </c>
      <c r="M9" t="s">
        <v>171</v>
      </c>
      <c r="R9" s="10" t="s">
        <v>255</v>
      </c>
      <c r="S9" s="11"/>
      <c r="T9" s="12"/>
    </row>
    <row r="10" spans="1:20" ht="17.25" customHeight="1" x14ac:dyDescent="0.25">
      <c r="A10">
        <v>10</v>
      </c>
      <c r="B10" s="2" t="s">
        <v>252</v>
      </c>
      <c r="D10" s="2" t="str">
        <f t="shared" si="0"/>
        <v>Makara or Vrishabha or Kanya</v>
      </c>
      <c r="E10" t="s">
        <v>176</v>
      </c>
      <c r="F10" t="s">
        <v>177</v>
      </c>
      <c r="G10" t="s">
        <v>178</v>
      </c>
      <c r="H10" t="s">
        <v>242</v>
      </c>
      <c r="I10" t="s">
        <v>168</v>
      </c>
      <c r="J10" t="s">
        <v>169</v>
      </c>
      <c r="K10" t="s">
        <v>170</v>
      </c>
      <c r="L10" t="s">
        <v>171</v>
      </c>
      <c r="M10" t="s">
        <v>172</v>
      </c>
      <c r="R10" s="13" t="s">
        <v>326</v>
      </c>
      <c r="S10" s="14"/>
      <c r="T10" s="15"/>
    </row>
    <row r="11" spans="1:20" x14ac:dyDescent="0.25">
      <c r="A11">
        <v>11</v>
      </c>
      <c r="B11" s="2" t="s">
        <v>253</v>
      </c>
      <c r="D11" s="2" t="str">
        <f t="shared" si="0"/>
        <v>Kumbha or Mithuna or Thula</v>
      </c>
      <c r="E11" t="s">
        <v>177</v>
      </c>
      <c r="F11" t="s">
        <v>178</v>
      </c>
      <c r="G11" t="s">
        <v>242</v>
      </c>
      <c r="H11" t="s">
        <v>168</v>
      </c>
      <c r="I11" t="s">
        <v>169</v>
      </c>
      <c r="J11" t="s">
        <v>170</v>
      </c>
      <c r="K11" t="s">
        <v>171</v>
      </c>
      <c r="L11" t="s">
        <v>172</v>
      </c>
      <c r="M11" t="s">
        <v>173</v>
      </c>
      <c r="R11" s="16"/>
      <c r="S11" s="17"/>
      <c r="T11" s="18"/>
    </row>
    <row r="12" spans="1:20" x14ac:dyDescent="0.25">
      <c r="A12">
        <v>12</v>
      </c>
      <c r="B12" s="2" t="s">
        <v>254</v>
      </c>
      <c r="D12" s="2" t="str">
        <f t="shared" si="0"/>
        <v>Meena or Karaka or Vrishchika</v>
      </c>
      <c r="E12" t="s">
        <v>178</v>
      </c>
      <c r="F12" t="s">
        <v>242</v>
      </c>
      <c r="G12" t="s">
        <v>168</v>
      </c>
      <c r="H12" t="s">
        <v>169</v>
      </c>
      <c r="I12" t="s">
        <v>170</v>
      </c>
      <c r="J12" t="s">
        <v>171</v>
      </c>
      <c r="K12" t="s">
        <v>172</v>
      </c>
      <c r="L12" t="s">
        <v>173</v>
      </c>
      <c r="M12" t="s">
        <v>174</v>
      </c>
      <c r="R12" s="16"/>
      <c r="S12" s="17"/>
      <c r="T12" s="18"/>
    </row>
    <row r="13" spans="1:20" x14ac:dyDescent="0.25">
      <c r="A13" s="8">
        <v>9</v>
      </c>
      <c r="B13" s="8">
        <v>12</v>
      </c>
      <c r="C13" t="str">
        <f>IF(A13=1,$B$1,IF(A13=2,$B$2,IF(A13=3,$B$3,IF(A13=4,$B$4,IF(A13=5,$B$5,IF(A13=6,$B$6,IF(A13=7,$B$7,IF(A13=8,$B$8,IF(A13=9,$B$9,IF(A13=10,$B$10,IF(A13=11,$B$11,$B$12)))))))))))</f>
        <v>Dhanu Rasi ; Mesha  and Simha Rasi are at Trikona from Dhanu</v>
      </c>
      <c r="R13" s="16"/>
      <c r="S13" s="17"/>
      <c r="T13" s="18"/>
    </row>
    <row r="14" spans="1:20" x14ac:dyDescent="0.25">
      <c r="A14" s="8" t="s">
        <v>321</v>
      </c>
      <c r="B14" s="8" t="s">
        <v>323</v>
      </c>
      <c r="C14" t="str">
        <f>IF(B13=1,$B$1,IF(B13=2,$B$2,IF(B13=3,$B$3,IF(B13=4,$B$4,IF(B13=5,$B$5,IF(B13=6,$B$6,IF(B13=7,$B$7,IF(B13=8,$B$8,IF(B13=9,$B$9,IF(B13=10,$B$10,IF(B13=11,$B$11,$B$12)))))))))))</f>
        <v>Meena Rasi ; Karaka and Vrishchika Rasi are at Trikona from Meena</v>
      </c>
      <c r="R14" s="16"/>
      <c r="S14" s="17"/>
      <c r="T14" s="18"/>
    </row>
    <row r="15" spans="1:20" x14ac:dyDescent="0.25">
      <c r="A15" s="8"/>
      <c r="B15" s="8"/>
      <c r="C15">
        <v>9</v>
      </c>
      <c r="D15">
        <v>1</v>
      </c>
      <c r="E15">
        <v>5</v>
      </c>
      <c r="R15" s="16"/>
      <c r="S15" s="17"/>
      <c r="T15" s="18"/>
    </row>
    <row r="16" spans="1:20" x14ac:dyDescent="0.25">
      <c r="A16" s="8" t="s">
        <v>274</v>
      </c>
      <c r="B16" s="8" t="s">
        <v>275</v>
      </c>
      <c r="C16">
        <v>12</v>
      </c>
      <c r="D16">
        <v>4</v>
      </c>
      <c r="E16">
        <v>8</v>
      </c>
      <c r="R16" s="16"/>
      <c r="S16" s="17"/>
      <c r="T16" s="18"/>
    </row>
    <row r="17" spans="1:20" x14ac:dyDescent="0.25">
      <c r="A17" s="3" t="s">
        <v>48</v>
      </c>
      <c r="R17" s="16"/>
      <c r="S17" s="17"/>
      <c r="T17" s="18"/>
    </row>
    <row r="18" spans="1:20" x14ac:dyDescent="0.25">
      <c r="A18" s="3" t="str">
        <f>CONCATENATE("In Lagna chart the 10th house lord  ",$A$14," is situated in ",C13)</f>
        <v>In Lagna chart the 10th house lord  SHUKRA is situated in Dhanu Rasi ; Mesha  and Simha Rasi are at Trikona from Dhanu</v>
      </c>
      <c r="R18" s="16"/>
      <c r="S18" s="17"/>
      <c r="T18" s="18"/>
    </row>
    <row r="19" spans="1:20" x14ac:dyDescent="0.25">
      <c r="A19" s="3" t="str">
        <f>CONCATENATE("In Navamansha chart the 10th house lord  ",B14," is situated in ",C14)</f>
        <v>In Navamansha chart the 10th house lord  CHANDRA is situated in Meena Rasi ; Karaka and Vrishchika Rasi are at Trikona from Meena</v>
      </c>
      <c r="R19" s="16"/>
      <c r="S19" s="17"/>
      <c r="T19" s="18"/>
    </row>
    <row r="20" spans="1:20" x14ac:dyDescent="0.25">
      <c r="A20" s="3" t="e">
        <f>CONCATENATE("You will experience POSITIVE changes regarding matters related to Career when radical Jupiter (Guru) transits  ",#REF!," OR ",$D$14)</f>
        <v>#REF!</v>
      </c>
      <c r="R20" s="16"/>
      <c r="S20" s="17"/>
      <c r="T20" s="18"/>
    </row>
    <row r="21" spans="1:20" x14ac:dyDescent="0.25">
      <c r="A21" s="3" t="e">
        <f>CONCATENATE("You will experience NEGATIVE changes regarding matters related to career when radical Saturn (Shani) transits  ",#REF!," OR ",$D$14)</f>
        <v>#REF!</v>
      </c>
      <c r="R21" s="16"/>
      <c r="S21" s="17"/>
      <c r="T21" s="18"/>
    </row>
    <row r="22" spans="1:20" x14ac:dyDescent="0.25">
      <c r="A22" s="3" t="e">
        <f>CONCATENATE("Your will get Job/ Carrer Establishment/ Promotion when radical Jupiter (Guru) transits ",#REF!," OR ",$D$14)</f>
        <v>#REF!</v>
      </c>
      <c r="R22" s="16"/>
      <c r="S22" s="17"/>
      <c r="T22" s="18"/>
    </row>
    <row r="23" spans="1:20" x14ac:dyDescent="0.25">
      <c r="A23" s="3" t="s">
        <v>325</v>
      </c>
      <c r="E23" s="9"/>
      <c r="F23" s="9"/>
      <c r="G23" s="9"/>
      <c r="H23" s="9"/>
      <c r="I23" s="9"/>
      <c r="J23" s="9"/>
      <c r="K23" s="9"/>
      <c r="L23" s="9"/>
      <c r="M23" s="9"/>
      <c r="R23" s="16"/>
      <c r="S23" s="17"/>
      <c r="T23" s="18"/>
    </row>
    <row r="24" spans="1:20" ht="15.75" thickBot="1" x14ac:dyDescent="0.3">
      <c r="A24" s="3" t="s">
        <v>324</v>
      </c>
      <c r="R24" s="19"/>
      <c r="S24" s="20"/>
      <c r="T24" s="21"/>
    </row>
    <row r="25" spans="1:20" x14ac:dyDescent="0.25">
      <c r="A25" s="3" t="s">
        <v>14</v>
      </c>
    </row>
    <row r="26" spans="1:20" x14ac:dyDescent="0.25">
      <c r="A26" s="3" t="s">
        <v>15</v>
      </c>
    </row>
    <row r="27" spans="1:20" ht="15.75" thickBot="1" x14ac:dyDescent="0.3">
      <c r="A27" s="3" t="s">
        <v>265</v>
      </c>
    </row>
    <row r="28" spans="1:20" ht="15.75" thickBot="1" x14ac:dyDescent="0.3">
      <c r="R28" s="10" t="s">
        <v>327</v>
      </c>
      <c r="S28" s="11"/>
      <c r="T28" s="12"/>
    </row>
    <row r="29" spans="1:20" x14ac:dyDescent="0.25">
      <c r="R29" s="13" t="s">
        <v>326</v>
      </c>
      <c r="S29" s="14"/>
      <c r="T29" s="15"/>
    </row>
    <row r="30" spans="1:20" x14ac:dyDescent="0.25">
      <c r="A30" t="s">
        <v>270</v>
      </c>
      <c r="R30" s="16"/>
      <c r="S30" s="17"/>
      <c r="T30" s="18"/>
    </row>
    <row r="31" spans="1:20" x14ac:dyDescent="0.25">
      <c r="A31" t="s">
        <v>271</v>
      </c>
      <c r="R31" s="16"/>
      <c r="S31" s="17"/>
      <c r="T31" s="18"/>
    </row>
    <row r="32" spans="1:20" x14ac:dyDescent="0.25">
      <c r="R32" s="16"/>
      <c r="S32" s="17"/>
      <c r="T32" s="18"/>
    </row>
    <row r="33" spans="1:20" x14ac:dyDescent="0.25">
      <c r="A33" t="s">
        <v>57</v>
      </c>
      <c r="R33" s="16"/>
      <c r="S33" s="17"/>
      <c r="T33" s="18"/>
    </row>
    <row r="34" spans="1:20" x14ac:dyDescent="0.25">
      <c r="A34" t="s">
        <v>58</v>
      </c>
      <c r="R34" s="16"/>
      <c r="S34" s="17"/>
      <c r="T34" s="18"/>
    </row>
    <row r="35" spans="1:20" x14ac:dyDescent="0.25">
      <c r="R35" s="16"/>
      <c r="S35" s="17"/>
      <c r="T35" s="18"/>
    </row>
    <row r="36" spans="1:20" x14ac:dyDescent="0.25">
      <c r="A36" t="s">
        <v>217</v>
      </c>
      <c r="R36" s="16"/>
      <c r="S36" s="17"/>
      <c r="T36" s="18"/>
    </row>
    <row r="37" spans="1:20" x14ac:dyDescent="0.25">
      <c r="A37" t="s">
        <v>216</v>
      </c>
      <c r="R37" s="16"/>
      <c r="S37" s="17"/>
      <c r="T37" s="18"/>
    </row>
    <row r="38" spans="1:20" x14ac:dyDescent="0.25">
      <c r="R38" s="16"/>
      <c r="S38" s="17"/>
      <c r="T38" s="18"/>
    </row>
    <row r="39" spans="1:20" x14ac:dyDescent="0.25">
      <c r="A39" t="s">
        <v>234</v>
      </c>
      <c r="R39" s="16"/>
      <c r="S39" s="17"/>
      <c r="T39" s="18"/>
    </row>
    <row r="40" spans="1:20" x14ac:dyDescent="0.25">
      <c r="A40" t="s">
        <v>235</v>
      </c>
      <c r="R40" s="16"/>
      <c r="S40" s="17"/>
      <c r="T40" s="18"/>
    </row>
    <row r="41" spans="1:20" x14ac:dyDescent="0.25">
      <c r="A41" t="s">
        <v>236</v>
      </c>
      <c r="R41" s="16"/>
      <c r="S41" s="17"/>
      <c r="T41" s="18"/>
    </row>
    <row r="42" spans="1:20" ht="15.75" thickBot="1" x14ac:dyDescent="0.3">
      <c r="R42" s="19"/>
      <c r="S42" s="20"/>
      <c r="T42" s="21"/>
    </row>
    <row r="43" spans="1:20" x14ac:dyDescent="0.25">
      <c r="A43" t="s">
        <v>69</v>
      </c>
    </row>
    <row r="44" spans="1:20" x14ac:dyDescent="0.25">
      <c r="A44" t="s">
        <v>76</v>
      </c>
    </row>
    <row r="45" spans="1:20" x14ac:dyDescent="0.25">
      <c r="A45" t="s">
        <v>70</v>
      </c>
    </row>
    <row r="46" spans="1:20" x14ac:dyDescent="0.25">
      <c r="A46" t="s">
        <v>71</v>
      </c>
    </row>
    <row r="47" spans="1:20" x14ac:dyDescent="0.25">
      <c r="A47" t="s">
        <v>72</v>
      </c>
    </row>
    <row r="48" spans="1:20" x14ac:dyDescent="0.25">
      <c r="A48" t="s">
        <v>73</v>
      </c>
    </row>
    <row r="49" spans="1:1" x14ac:dyDescent="0.25">
      <c r="A49" t="s">
        <v>74</v>
      </c>
    </row>
    <row r="50" spans="1:1" x14ac:dyDescent="0.25">
      <c r="A50" t="s">
        <v>75</v>
      </c>
    </row>
    <row r="52" spans="1:1" x14ac:dyDescent="0.25">
      <c r="A52" t="s">
        <v>199</v>
      </c>
    </row>
    <row r="54" spans="1:1" x14ac:dyDescent="0.25">
      <c r="A54" t="s">
        <v>200</v>
      </c>
    </row>
    <row r="56" spans="1:1" x14ac:dyDescent="0.25">
      <c r="A56" t="s">
        <v>201</v>
      </c>
    </row>
    <row r="58" spans="1:1" x14ac:dyDescent="0.25">
      <c r="A58" t="s">
        <v>202</v>
      </c>
    </row>
    <row r="60" spans="1:1" x14ac:dyDescent="0.25">
      <c r="A60" t="s">
        <v>203</v>
      </c>
    </row>
    <row r="62" spans="1:1" x14ac:dyDescent="0.25">
      <c r="A62" t="s">
        <v>204</v>
      </c>
    </row>
  </sheetData>
  <mergeCells count="4">
    <mergeCell ref="R9:T9"/>
    <mergeCell ref="R10:T24"/>
    <mergeCell ref="R28:T28"/>
    <mergeCell ref="R29:T42"/>
  </mergeCells>
  <pageMargins left="0.7" right="0.7" top="0.75" bottom="0.75" header="0.3" footer="0.3"/>
  <pageSetup paperSize="9" orientation="portrait" horizontalDpi="4294967292"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sqref="A1:XFD25"/>
    </sheetView>
  </sheetViews>
  <sheetFormatPr defaultRowHeight="15" x14ac:dyDescent="0.25"/>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x14ac:dyDescent="0.25">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x14ac:dyDescent="0.25">
      <c r="A15" s="4" t="s">
        <v>276</v>
      </c>
      <c r="B15" s="4" t="s">
        <v>277</v>
      </c>
    </row>
    <row r="16" spans="1:13" x14ac:dyDescent="0.25">
      <c r="A16" s="3" t="s">
        <v>24</v>
      </c>
    </row>
    <row r="17" spans="1:1" x14ac:dyDescent="0.25">
      <c r="A17" s="3" t="str">
        <f>CONCATENATE("In Lagna chart the 4th house lord  ",$A$14," is situated in ",C13)</f>
        <v>In Lagna chart the 4th house lord  Q is situated in Meena Rasi ; Karaka and Vrishchika Rasi are at Trikona from Meena</v>
      </c>
    </row>
    <row r="18" spans="1:1" x14ac:dyDescent="0.25">
      <c r="A18" s="3" t="str">
        <f>CONCATENATE("In Navamansha chart the 4th house lord  ",B14," is situated in ",D13)</f>
        <v>In Navamansha chart the 4th house lord  Y is situated in Meena Rasi ; Karaka and Vrishchika Rasi are at Trikona from Meena</v>
      </c>
    </row>
    <row r="19" spans="1:1" x14ac:dyDescent="0.25">
      <c r="A19" s="3" t="str">
        <f>CONCATENATE("You will experience POSITIVE changes in your efforts to build/ purchase a new house when radical Jupiter (Guru) transits",$C$14," OR ",$D$14)</f>
        <v>You will experience POSITIVE changes in your efforts to build/ purchase a new house when radical Jupiter (Guru) transitsMeena or Karaka or Vrishchika OR Meena or Karaka or Vrishchika</v>
      </c>
    </row>
    <row r="20" spans="1:1" x14ac:dyDescent="0.25">
      <c r="A20" s="3" t="str">
        <f>CONCATENATE("You will experience NEGATIVE changes in your efforts to build/ purchase a new house when radical Saturn (Shani) transits",$C$14," OR ",$D$14)</f>
        <v>You will experience NEGATIVE changes in your efforts to build/ purchase a new house when radical Saturn (Shani) transitsMeena or Karaka or Vrishchika OR Meena or Karaka or Vrishchika</v>
      </c>
    </row>
    <row r="21" spans="1:1" x14ac:dyDescent="0.25">
      <c r="A21" s="3" t="str">
        <f>CONCATENATE("Your will get Job/ Carrer Establishment/ Promotion when radical Jupiter (Guru) transits ",$C$14," OR ",$D$14)</f>
        <v>Your will get Job/ Carrer Establishment/ Promotion when radical Jupiter (Guru) transits Meena or Karaka or Vrishchika OR Meena or Karaka or Vrishchika</v>
      </c>
    </row>
    <row r="22" spans="1:1" x14ac:dyDescent="0.25">
      <c r="A22" s="3" t="s">
        <v>13</v>
      </c>
    </row>
    <row r="23" spans="1:1" x14ac:dyDescent="0.25">
      <c r="A23" s="3" t="s">
        <v>14</v>
      </c>
    </row>
    <row r="24" spans="1:1" x14ac:dyDescent="0.25">
      <c r="A24" s="3" t="s">
        <v>15</v>
      </c>
    </row>
    <row r="25" spans="1:1" x14ac:dyDescent="0.25">
      <c r="A25" s="3"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election activeCell="A15" sqref="A15:B15"/>
    </sheetView>
  </sheetViews>
  <sheetFormatPr defaultRowHeight="15" x14ac:dyDescent="0.25"/>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x14ac:dyDescent="0.25">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x14ac:dyDescent="0.25">
      <c r="A15" s="4" t="s">
        <v>279</v>
      </c>
      <c r="B15" s="4" t="s">
        <v>280</v>
      </c>
    </row>
    <row r="16" spans="1:13" x14ac:dyDescent="0.25">
      <c r="A16" t="s">
        <v>164</v>
      </c>
    </row>
    <row r="17" spans="1:1" x14ac:dyDescent="0.25">
      <c r="A17" s="3" t="str">
        <f>CONCATENATE("In Lagna chart the 5th house lord  ",$A$15," is situated in ",C13)</f>
        <v>In Lagna chart the 5th house lord  5th lord L is situated in Meena Rasi ; Karaka and Vrishchika Rasi are at Trikona from Meena</v>
      </c>
    </row>
    <row r="18" spans="1:1" x14ac:dyDescent="0.25">
      <c r="A18" s="3" t="str">
        <f>CONCATENATE("In Navamansha chart the 5th house lord  ",B15," is situated in ",D13)</f>
        <v>In Navamansha chart the 5th house lord  5th lord N is situated in Meena Rasi ; Karaka and Vrishchika Rasi are at Trikona from Meena</v>
      </c>
    </row>
    <row r="19" spans="1:1" x14ac:dyDescent="0.25">
      <c r="A19" s="3" t="str">
        <f>CONCATENATE("You will experience POSITIVE changes regarding matters related to Children when radical Jupiter (Guru) transits",$C$14," OR ",$D$14)</f>
        <v>You will experience POSITIVE changes regarding matters related to Children when radical Jupiter (Guru) transitsMeena or Karaka or Vrishchika OR Meena or Karaka or Vrishchika</v>
      </c>
    </row>
    <row r="20" spans="1:1" x14ac:dyDescent="0.25">
      <c r="A20" s="3" t="str">
        <f>CONCATENATE("You will experience NEGATIVE changes regarding matters related to Children when radical Saturn (Shani) transits",$C$14," OR ",$D$14)</f>
        <v>You will experience NEGATIVE changes regarding matters related to Children when radical Saturn (Shani) transitsMeena or Karaka or Vrishchika OR Meena or Karaka or Vrishchika</v>
      </c>
    </row>
    <row r="21" spans="1:1" x14ac:dyDescent="0.25">
      <c r="A21" t="s">
        <v>165</v>
      </c>
    </row>
    <row r="22" spans="1:1" x14ac:dyDescent="0.25">
      <c r="A22" s="3" t="s">
        <v>13</v>
      </c>
    </row>
    <row r="23" spans="1:1" x14ac:dyDescent="0.25">
      <c r="A23" s="3" t="s">
        <v>14</v>
      </c>
    </row>
    <row r="24" spans="1:1" x14ac:dyDescent="0.25">
      <c r="A24" s="3" t="s">
        <v>15</v>
      </c>
    </row>
    <row r="25" spans="1:1" x14ac:dyDescent="0.25">
      <c r="A25" t="s">
        <v>165</v>
      </c>
    </row>
    <row r="27" spans="1:1" x14ac:dyDescent="0.25">
      <c r="A27" t="s">
        <v>241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election activeCell="A17" sqref="A17"/>
    </sheetView>
  </sheetViews>
  <sheetFormatPr defaultRowHeight="15" x14ac:dyDescent="0.25"/>
  <cols>
    <col min="3" max="3" width="53.85546875" bestFit="1" customWidth="1"/>
    <col min="4" max="4" width="13.85546875" customWidth="1"/>
  </cols>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B13" s="2"/>
      <c r="D13" s="2"/>
    </row>
    <row r="14" spans="1:13" x14ac:dyDescent="0.25">
      <c r="A14" s="4">
        <v>12</v>
      </c>
      <c r="B14" s="4">
        <v>12</v>
      </c>
      <c r="C14" t="str">
        <f>IF(A14=1,$B$1,IF(A14=2,$B$2,IF(A14=3,$B$3,IF(A14=4,$B$4,IF(A14=5,$B$5,IF(A14=6,$B$6,IF(A14=7,$B$7,IF(A14=8,$B$8,IF(A14=9,$B$9,IF(A14=10,$B$10,IF(A14=11,$B$11,$B$12)))))))))))</f>
        <v>Meena Rasi ; Karaka and Vrishchika Rasi are at Trikona from Meena</v>
      </c>
      <c r="D14" t="str">
        <f>IF(B14=1,$B$1,IF(B14=2,$B$2,IF(B14=3,$B$3,IF(B14=4,$B$4,IF(B14=5,$B$5,IF(B14=6,$B$6,IF(B14=7,$B$7,IF(B14=8,$B$8,IF(B14=9,$B$9,IF(B14=10,$B$10,IF(B14=11,$B$11,$B$12)))))))))))</f>
        <v>Meena Rasi ; Karaka and Vrishchika Rasi are at Trikona from Meena</v>
      </c>
    </row>
    <row r="15" spans="1:13" x14ac:dyDescent="0.25">
      <c r="A15" s="4" t="s">
        <v>255</v>
      </c>
      <c r="B15" s="4" t="s">
        <v>256</v>
      </c>
      <c r="C15" t="str">
        <f>IF(A14=1,$D$1,IF(A14=2,$D$2,IF(A14=3,$D$3,IF(A14=4,$D$4,IF(A14=5,$D$5,IF(A14=6,$D$6,IF(A14=7,$D$7,IF(A14=8,$D$8,IF(A14=9,$D$9,IF(A14=10,$D$10,IF(A14=11,$D$11,$D$12)))))))))))</f>
        <v>Meena or Karaka or Vrishchika</v>
      </c>
      <c r="D15" t="str">
        <f>IF(B14=1,$D$1,IF(B14=2,$D$2,IF(B14=3,$D$3,IF(B14=4,$D$4,IF(B14=5,$D$5,IF(B14=6,$D$6,IF(B14=7,$D$7,IF(B14=8,$D$8,IF(B14=9,$D$9,IF(B14=10,$D$10,IF(B14=11,$D$11,$D$12)))))))))))</f>
        <v>Meena or Karaka or Vrishchika</v>
      </c>
    </row>
    <row r="16" spans="1:13" x14ac:dyDescent="0.25">
      <c r="A16" t="str">
        <f>CONCATENATE("In Lagna chart the 7th house lord  ",$A$15," is situated in ",C14)</f>
        <v>In Lagna chart the 7th house lord  SATURN is situated in Meena Rasi ; Karaka and Vrishchika Rasi are at Trikona from Meena</v>
      </c>
    </row>
    <row r="17" spans="1:1" x14ac:dyDescent="0.25">
      <c r="A17" t="str">
        <f>CONCATENATE("In Navamansha chart the 7th house lord  ",B15," is situated in ",D14)</f>
        <v>In Navamansha chart the 7th house lord  MERCURY is situated in Meena Rasi ; Karaka and Vrishchika Rasi are at Trikona from Meena</v>
      </c>
    </row>
    <row r="18" spans="1:1" x14ac:dyDescent="0.25">
      <c r="A18" t="str">
        <f>CONCATENATE("Your marriage will take place when radical Jupiter (Guru) transits ",C15," OR ",D15)</f>
        <v>Your marriage will take place when radical Jupiter (Guru) transits Meena or Karaka or Vrishchika OR Meena or Karaka or Vrishchika</v>
      </c>
    </row>
    <row r="19" spans="1:1" x14ac:dyDescent="0.25">
      <c r="A19" t="s">
        <v>13</v>
      </c>
    </row>
    <row r="20" spans="1:1" x14ac:dyDescent="0.25">
      <c r="A20" t="s">
        <v>14</v>
      </c>
    </row>
    <row r="21" spans="1:1" x14ac:dyDescent="0.25">
      <c r="A21" t="s">
        <v>15</v>
      </c>
    </row>
    <row r="22" spans="1:1" x14ac:dyDescent="0.25">
      <c r="A22" t="s">
        <v>257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workbookViewId="0">
      <selection activeCell="A59" sqref="A59:A62"/>
    </sheetView>
  </sheetViews>
  <sheetFormatPr defaultRowHeight="15" x14ac:dyDescent="0.25"/>
  <sheetData>
    <row r="1" spans="1:1" x14ac:dyDescent="0.25">
      <c r="A1" t="s">
        <v>78</v>
      </c>
    </row>
    <row r="2" spans="1:1" x14ac:dyDescent="0.25">
      <c r="A2" t="s">
        <v>79</v>
      </c>
    </row>
    <row r="3" spans="1:1" x14ac:dyDescent="0.25">
      <c r="A3" t="s">
        <v>80</v>
      </c>
    </row>
    <row r="5" spans="1:1" x14ac:dyDescent="0.25">
      <c r="A5" t="s">
        <v>81</v>
      </c>
    </row>
    <row r="6" spans="1:1" x14ac:dyDescent="0.25">
      <c r="A6" t="s">
        <v>82</v>
      </c>
    </row>
    <row r="7" spans="1:1" x14ac:dyDescent="0.25">
      <c r="A7" t="s">
        <v>83</v>
      </c>
    </row>
    <row r="8" spans="1:1" x14ac:dyDescent="0.25">
      <c r="A8" t="s">
        <v>84</v>
      </c>
    </row>
    <row r="10" spans="1:1" x14ac:dyDescent="0.25">
      <c r="A10" t="s">
        <v>85</v>
      </c>
    </row>
    <row r="11" spans="1:1" x14ac:dyDescent="0.25">
      <c r="A11" t="s">
        <v>86</v>
      </c>
    </row>
    <row r="12" spans="1:1" x14ac:dyDescent="0.25">
      <c r="A12" t="s">
        <v>87</v>
      </c>
    </row>
    <row r="16" spans="1:1" x14ac:dyDescent="0.25">
      <c r="A16" t="s">
        <v>88</v>
      </c>
    </row>
    <row r="17" spans="1:9" x14ac:dyDescent="0.25">
      <c r="A17" t="s">
        <v>89</v>
      </c>
    </row>
    <row r="18" spans="1:9" x14ac:dyDescent="0.25">
      <c r="A18" t="s">
        <v>90</v>
      </c>
    </row>
    <row r="20" spans="1:9" x14ac:dyDescent="0.25">
      <c r="A20" t="s">
        <v>91</v>
      </c>
    </row>
    <row r="21" spans="1:9" x14ac:dyDescent="0.25">
      <c r="A21" t="s">
        <v>92</v>
      </c>
    </row>
    <row r="22" spans="1:9" x14ac:dyDescent="0.25">
      <c r="A22" t="s">
        <v>93</v>
      </c>
    </row>
    <row r="23" spans="1:9" x14ac:dyDescent="0.25">
      <c r="A23" t="s">
        <v>94</v>
      </c>
    </row>
    <row r="24" spans="1:9" x14ac:dyDescent="0.25">
      <c r="A24" t="s">
        <v>95</v>
      </c>
    </row>
    <row r="25" spans="1:9" x14ac:dyDescent="0.25">
      <c r="A25" t="s">
        <v>96</v>
      </c>
    </row>
    <row r="26" spans="1:9" x14ac:dyDescent="0.25">
      <c r="A26" t="s">
        <v>97</v>
      </c>
    </row>
    <row r="27" spans="1:9" x14ac:dyDescent="0.25">
      <c r="A27" t="s">
        <v>89</v>
      </c>
    </row>
    <row r="28" spans="1:9" x14ac:dyDescent="0.25">
      <c r="A28" t="s">
        <v>90</v>
      </c>
      <c r="I28" t="s">
        <v>110</v>
      </c>
    </row>
    <row r="29" spans="1:9" x14ac:dyDescent="0.25">
      <c r="I29" t="s">
        <v>111</v>
      </c>
    </row>
    <row r="30" spans="1:9" x14ac:dyDescent="0.25">
      <c r="A30" t="s">
        <v>91</v>
      </c>
      <c r="I30" t="s">
        <v>112</v>
      </c>
    </row>
    <row r="31" spans="1:9" x14ac:dyDescent="0.25">
      <c r="A31" t="s">
        <v>92</v>
      </c>
      <c r="I31" t="s">
        <v>113</v>
      </c>
    </row>
    <row r="32" spans="1:9" x14ac:dyDescent="0.25">
      <c r="A32" t="s">
        <v>93</v>
      </c>
      <c r="I32" t="s">
        <v>114</v>
      </c>
    </row>
    <row r="33" spans="1:9" x14ac:dyDescent="0.25">
      <c r="A33" t="s">
        <v>94</v>
      </c>
      <c r="I33" t="s">
        <v>115</v>
      </c>
    </row>
    <row r="34" spans="1:9" x14ac:dyDescent="0.25">
      <c r="A34" t="s">
        <v>95</v>
      </c>
      <c r="I34" t="s">
        <v>116</v>
      </c>
    </row>
    <row r="35" spans="1:9" x14ac:dyDescent="0.25">
      <c r="A35" t="s">
        <v>96</v>
      </c>
      <c r="I35" t="s">
        <v>117</v>
      </c>
    </row>
    <row r="36" spans="1:9" x14ac:dyDescent="0.25">
      <c r="A36" t="s">
        <v>98</v>
      </c>
      <c r="I36" t="s">
        <v>118</v>
      </c>
    </row>
    <row r="37" spans="1:9" x14ac:dyDescent="0.25">
      <c r="A37" t="s">
        <v>99</v>
      </c>
      <c r="I37" t="s">
        <v>119</v>
      </c>
    </row>
    <row r="38" spans="1:9" x14ac:dyDescent="0.25">
      <c r="A38" t="s">
        <v>100</v>
      </c>
      <c r="I38" t="s">
        <v>120</v>
      </c>
    </row>
    <row r="39" spans="1:9" x14ac:dyDescent="0.25">
      <c r="A39" t="s">
        <v>101</v>
      </c>
      <c r="I39" t="s">
        <v>121</v>
      </c>
    </row>
    <row r="40" spans="1:9" x14ac:dyDescent="0.25">
      <c r="A40" t="s">
        <v>102</v>
      </c>
      <c r="I40" t="s">
        <v>122</v>
      </c>
    </row>
    <row r="41" spans="1:9" x14ac:dyDescent="0.25">
      <c r="A41" t="s">
        <v>99</v>
      </c>
      <c r="I41" t="s">
        <v>123</v>
      </c>
    </row>
    <row r="42" spans="1:9" x14ac:dyDescent="0.25">
      <c r="A42" t="s">
        <v>100</v>
      </c>
      <c r="I42" t="s">
        <v>124</v>
      </c>
    </row>
    <row r="43" spans="1:9" x14ac:dyDescent="0.25">
      <c r="A43" t="s">
        <v>101</v>
      </c>
      <c r="I43" t="s">
        <v>125</v>
      </c>
    </row>
    <row r="44" spans="1:9" x14ac:dyDescent="0.25">
      <c r="A44" t="s">
        <v>103</v>
      </c>
      <c r="I44" t="s">
        <v>126</v>
      </c>
    </row>
    <row r="45" spans="1:9" x14ac:dyDescent="0.25">
      <c r="I45" t="s">
        <v>127</v>
      </c>
    </row>
    <row r="46" spans="1:9" x14ac:dyDescent="0.25">
      <c r="A46" t="s">
        <v>107</v>
      </c>
      <c r="I46" t="s">
        <v>128</v>
      </c>
    </row>
    <row r="47" spans="1:9" x14ac:dyDescent="0.25">
      <c r="A47" t="s">
        <v>108</v>
      </c>
    </row>
    <row r="48" spans="1:9" x14ac:dyDescent="0.25">
      <c r="I48" t="s">
        <v>129</v>
      </c>
    </row>
    <row r="49" spans="1:9" x14ac:dyDescent="0.25">
      <c r="A49" t="s">
        <v>109</v>
      </c>
      <c r="I49" t="s">
        <v>130</v>
      </c>
    </row>
    <row r="50" spans="1:9" x14ac:dyDescent="0.25">
      <c r="I50" t="s">
        <v>131</v>
      </c>
    </row>
    <row r="51" spans="1:9" x14ac:dyDescent="0.25">
      <c r="I51" t="s">
        <v>132</v>
      </c>
    </row>
    <row r="52" spans="1:9" x14ac:dyDescent="0.25">
      <c r="I52" t="s">
        <v>133</v>
      </c>
    </row>
    <row r="55" spans="1:9" x14ac:dyDescent="0.25">
      <c r="I55" t="s">
        <v>88</v>
      </c>
    </row>
    <row r="56" spans="1:9" x14ac:dyDescent="0.25">
      <c r="I56" t="s">
        <v>180</v>
      </c>
    </row>
    <row r="57" spans="1:9" x14ac:dyDescent="0.25">
      <c r="I57" t="s">
        <v>181</v>
      </c>
    </row>
    <row r="58" spans="1:9" x14ac:dyDescent="0.25">
      <c r="I58" t="s">
        <v>182</v>
      </c>
    </row>
    <row r="59" spans="1:9" x14ac:dyDescent="0.25">
      <c r="A59" t="s">
        <v>206</v>
      </c>
      <c r="I59" t="s">
        <v>91</v>
      </c>
    </row>
    <row r="60" spans="1:9" x14ac:dyDescent="0.25">
      <c r="A60" t="s">
        <v>207</v>
      </c>
      <c r="I60" t="s">
        <v>183</v>
      </c>
    </row>
    <row r="61" spans="1:9" x14ac:dyDescent="0.25">
      <c r="A61" t="s">
        <v>208</v>
      </c>
      <c r="I61" t="s">
        <v>184</v>
      </c>
    </row>
    <row r="62" spans="1:9" x14ac:dyDescent="0.25">
      <c r="A62" t="s">
        <v>209</v>
      </c>
    </row>
    <row r="63" spans="1:9" x14ac:dyDescent="0.25">
      <c r="I63" t="s">
        <v>96</v>
      </c>
    </row>
    <row r="64" spans="1:9" x14ac:dyDescent="0.25">
      <c r="I64" t="s">
        <v>185</v>
      </c>
    </row>
    <row r="65" spans="9:9" x14ac:dyDescent="0.25">
      <c r="I65" t="s">
        <v>186</v>
      </c>
    </row>
    <row r="66" spans="9:9" x14ac:dyDescent="0.25">
      <c r="I66" t="s">
        <v>187</v>
      </c>
    </row>
    <row r="67" spans="9:9" x14ac:dyDescent="0.25">
      <c r="I67" t="s">
        <v>188</v>
      </c>
    </row>
    <row r="68" spans="9:9" x14ac:dyDescent="0.25">
      <c r="I68" t="s">
        <v>189</v>
      </c>
    </row>
    <row r="70" spans="9:9" x14ac:dyDescent="0.25">
      <c r="I70" t="s">
        <v>190</v>
      </c>
    </row>
    <row r="71" spans="9:9" x14ac:dyDescent="0.25">
      <c r="I71" t="s">
        <v>191</v>
      </c>
    </row>
    <row r="72" spans="9:9" x14ac:dyDescent="0.25">
      <c r="I72" t="s">
        <v>192</v>
      </c>
    </row>
    <row r="73" spans="9:9" x14ac:dyDescent="0.25">
      <c r="I73" t="s">
        <v>193</v>
      </c>
    </row>
    <row r="74" spans="9:9" x14ac:dyDescent="0.25">
      <c r="I74" t="s">
        <v>194</v>
      </c>
    </row>
    <row r="76" spans="9:9" x14ac:dyDescent="0.25">
      <c r="I76" t="s">
        <v>195</v>
      </c>
    </row>
    <row r="77" spans="9:9" x14ac:dyDescent="0.25">
      <c r="I77" t="s">
        <v>196</v>
      </c>
    </row>
    <row r="78" spans="9:9" x14ac:dyDescent="0.25">
      <c r="I78" t="s">
        <v>197</v>
      </c>
    </row>
    <row r="79" spans="9:9" x14ac:dyDescent="0.25">
      <c r="I79"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J7" sqref="J7"/>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5</v>
      </c>
    </row>
    <row r="5" spans="1:1" x14ac:dyDescent="0.25">
      <c r="A5" t="s">
        <v>6</v>
      </c>
    </row>
    <row r="6" spans="1:1" x14ac:dyDescent="0.25">
      <c r="A6" t="s">
        <v>3</v>
      </c>
    </row>
    <row r="7" spans="1:1" x14ac:dyDescent="0.25">
      <c r="A7" t="s">
        <v>4</v>
      </c>
    </row>
    <row r="8" spans="1:1" x14ac:dyDescent="0.25">
      <c r="A8"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workbookViewId="0">
      <selection activeCell="A9" sqref="A9"/>
    </sheetView>
  </sheetViews>
  <sheetFormatPr defaultRowHeight="15" x14ac:dyDescent="0.25"/>
  <sheetData>
    <row r="1" spans="1:1" x14ac:dyDescent="0.25">
      <c r="A1" t="s">
        <v>9</v>
      </c>
    </row>
    <row r="3" spans="1:1" x14ac:dyDescent="0.25">
      <c r="A3" t="s">
        <v>10</v>
      </c>
    </row>
    <row r="5" spans="1:1" x14ac:dyDescent="0.25">
      <c r="A5" t="s">
        <v>11</v>
      </c>
    </row>
    <row r="6" spans="1:1" x14ac:dyDescent="0.25">
      <c r="A6" t="s">
        <v>23</v>
      </c>
    </row>
    <row r="7" spans="1:1" x14ac:dyDescent="0.25">
      <c r="A7" t="s">
        <v>12</v>
      </c>
    </row>
    <row r="9" spans="1:1" x14ac:dyDescent="0.25">
      <c r="A9" t="s">
        <v>299</v>
      </c>
    </row>
    <row r="10" spans="1:1" x14ac:dyDescent="0.25">
      <c r="A10" t="s">
        <v>300</v>
      </c>
    </row>
    <row r="12" spans="1:1" x14ac:dyDescent="0.25">
      <c r="A12" t="s">
        <v>67</v>
      </c>
    </row>
    <row r="13" spans="1:1" x14ac:dyDescent="0.25">
      <c r="A13" t="s">
        <v>68</v>
      </c>
    </row>
    <row r="14" spans="1:1" x14ac:dyDescent="0.25">
      <c r="A14" t="s">
        <v>163</v>
      </c>
    </row>
    <row r="15" spans="1:1" x14ac:dyDescent="0.25">
      <c r="A15" t="s">
        <v>67</v>
      </c>
    </row>
    <row r="16" spans="1:1" x14ac:dyDescent="0.25">
      <c r="A16" t="s">
        <v>77</v>
      </c>
    </row>
    <row r="18" spans="1:1" x14ac:dyDescent="0.25">
      <c r="A18" t="s">
        <v>210</v>
      </c>
    </row>
    <row r="19" spans="1:1" x14ac:dyDescent="0.25">
      <c r="A19" t="s">
        <v>211</v>
      </c>
    </row>
    <row r="22" spans="1:1" x14ac:dyDescent="0.25">
      <c r="A22" t="s">
        <v>213</v>
      </c>
    </row>
    <row r="23" spans="1:1" x14ac:dyDescent="0.25">
      <c r="A23" t="s">
        <v>214</v>
      </c>
    </row>
    <row r="24" spans="1:1" x14ac:dyDescent="0.25">
      <c r="A24" t="s">
        <v>215</v>
      </c>
    </row>
    <row r="26" spans="1:1" x14ac:dyDescent="0.25">
      <c r="A26" t="s">
        <v>221</v>
      </c>
    </row>
    <row r="27" spans="1:1" x14ac:dyDescent="0.25">
      <c r="A27" t="s">
        <v>218</v>
      </c>
    </row>
    <row r="29" spans="1:1" x14ac:dyDescent="0.25">
      <c r="A29" t="s">
        <v>219</v>
      </c>
    </row>
    <row r="31" spans="1:1" x14ac:dyDescent="0.25">
      <c r="A31" t="s">
        <v>220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workbookViewId="0">
      <selection activeCell="K7" sqref="K7"/>
    </sheetView>
  </sheetViews>
  <sheetFormatPr defaultRowHeight="15" x14ac:dyDescent="0.25"/>
  <sheetData>
    <row r="1" spans="1:11" x14ac:dyDescent="0.25">
      <c r="A1" t="s">
        <v>303</v>
      </c>
      <c r="G1" t="s">
        <v>303</v>
      </c>
    </row>
    <row r="2" spans="1:11" x14ac:dyDescent="0.25">
      <c r="A2" t="s">
        <v>20</v>
      </c>
      <c r="G2" t="str">
        <f>C4</f>
        <v>Pearl</v>
      </c>
    </row>
    <row r="3" spans="1:11" x14ac:dyDescent="0.25">
      <c r="A3" t="s">
        <v>21</v>
      </c>
      <c r="C3" t="s">
        <v>205</v>
      </c>
      <c r="G3" t="str">
        <f>A6</f>
        <v xml:space="preserve">SAPPHIRE </v>
      </c>
    </row>
    <row r="4" spans="1:11" x14ac:dyDescent="0.25">
      <c r="A4" t="s">
        <v>22</v>
      </c>
      <c r="C4" t="s">
        <v>104</v>
      </c>
      <c r="G4" t="str">
        <f>A2</f>
        <v>Diamond</v>
      </c>
      <c r="K4" t="s">
        <v>305</v>
      </c>
    </row>
    <row r="5" spans="1:11" x14ac:dyDescent="0.25">
      <c r="A5" t="s">
        <v>49</v>
      </c>
      <c r="C5" t="s">
        <v>105</v>
      </c>
      <c r="K5" t="s">
        <v>304</v>
      </c>
    </row>
    <row r="6" spans="1:11" x14ac:dyDescent="0.25">
      <c r="A6" t="s">
        <v>50</v>
      </c>
      <c r="C6" t="s">
        <v>106</v>
      </c>
    </row>
    <row r="7" spans="1:11" x14ac:dyDescent="0.25">
      <c r="A7" t="s">
        <v>166</v>
      </c>
      <c r="K7" t="s">
        <v>312</v>
      </c>
    </row>
    <row r="8" spans="1:11" x14ac:dyDescent="0.25">
      <c r="A8" t="s">
        <v>302</v>
      </c>
    </row>
    <row r="9" spans="1:11" x14ac:dyDescent="0.25">
      <c r="A9" t="s">
        <v>167</v>
      </c>
    </row>
    <row r="10" spans="1:11" x14ac:dyDescent="0.25">
      <c r="A10" t="s">
        <v>179</v>
      </c>
    </row>
    <row r="13" spans="1:11" x14ac:dyDescent="0.25">
      <c r="A13" t="s">
        <v>7</v>
      </c>
    </row>
    <row r="14" spans="1:11" x14ac:dyDescent="0.25">
      <c r="A14" t="s">
        <v>8</v>
      </c>
    </row>
    <row r="18" spans="1:3" x14ac:dyDescent="0.25">
      <c r="A18" t="s">
        <v>19</v>
      </c>
    </row>
    <row r="19" spans="1:3" x14ac:dyDescent="0.25">
      <c r="B19" t="s">
        <v>18</v>
      </c>
      <c r="C19" t="s">
        <v>17</v>
      </c>
    </row>
    <row r="22" spans="1:3" x14ac:dyDescent="0.25">
      <c r="A22" t="s">
        <v>53</v>
      </c>
    </row>
    <row r="23" spans="1:3" x14ac:dyDescent="0.25">
      <c r="A23" t="s">
        <v>54</v>
      </c>
    </row>
    <row r="24" spans="1:3" x14ac:dyDescent="0.25">
      <c r="A24" t="s">
        <v>55</v>
      </c>
    </row>
    <row r="25" spans="1:3" x14ac:dyDescent="0.25">
      <c r="A25" t="s">
        <v>56</v>
      </c>
    </row>
    <row r="27" spans="1:3" x14ac:dyDescent="0.25">
      <c r="A27" t="s">
        <v>212</v>
      </c>
    </row>
    <row r="28" spans="1:3" x14ac:dyDescent="0.25">
      <c r="A28" t="s">
        <v>211</v>
      </c>
    </row>
    <row r="30" spans="1:3" x14ac:dyDescent="0.25">
      <c r="A30" t="s">
        <v>222</v>
      </c>
    </row>
    <row r="31" spans="1:3" x14ac:dyDescent="0.25">
      <c r="A31" t="s">
        <v>223</v>
      </c>
    </row>
    <row r="32" spans="1:3" x14ac:dyDescent="0.25">
      <c r="A32" t="s">
        <v>224</v>
      </c>
    </row>
    <row r="33" spans="1:12" x14ac:dyDescent="0.25">
      <c r="A33" t="s">
        <v>225</v>
      </c>
    </row>
    <row r="34" spans="1:12" x14ac:dyDescent="0.25">
      <c r="A34" t="s">
        <v>226</v>
      </c>
    </row>
    <row r="35" spans="1:12" x14ac:dyDescent="0.25">
      <c r="A35" t="s">
        <v>227</v>
      </c>
    </row>
    <row r="36" spans="1:12" x14ac:dyDescent="0.25">
      <c r="A36" t="s">
        <v>228</v>
      </c>
    </row>
    <row r="38" spans="1:12" x14ac:dyDescent="0.25">
      <c r="A38" t="s">
        <v>229</v>
      </c>
    </row>
    <row r="39" spans="1:12" ht="56.25" customHeight="1" x14ac:dyDescent="0.25">
      <c r="A39" s="22" t="s">
        <v>230</v>
      </c>
      <c r="B39" s="22"/>
      <c r="C39" s="22"/>
      <c r="D39" s="22"/>
      <c r="E39" s="22"/>
      <c r="F39" s="22"/>
      <c r="G39" s="22"/>
      <c r="H39" s="22"/>
      <c r="I39" s="22"/>
      <c r="J39" s="22"/>
      <c r="K39" s="22"/>
      <c r="L39" s="22"/>
    </row>
    <row r="40" spans="1:12" x14ac:dyDescent="0.25">
      <c r="A40" t="s">
        <v>231</v>
      </c>
    </row>
    <row r="42" spans="1:12" x14ac:dyDescent="0.25">
      <c r="A42" t="s">
        <v>237</v>
      </c>
    </row>
    <row r="43" spans="1:12" x14ac:dyDescent="0.25">
      <c r="A43" t="s">
        <v>238</v>
      </c>
    </row>
    <row r="46" spans="1:12" x14ac:dyDescent="0.25">
      <c r="A46" t="s">
        <v>287</v>
      </c>
      <c r="B46" t="s">
        <v>288</v>
      </c>
      <c r="C46" t="s">
        <v>289</v>
      </c>
      <c r="D46" t="s">
        <v>285</v>
      </c>
    </row>
    <row r="47" spans="1:12" x14ac:dyDescent="0.25">
      <c r="A47" t="s">
        <v>286</v>
      </c>
      <c r="B47" t="s">
        <v>283</v>
      </c>
      <c r="C47" t="s">
        <v>284</v>
      </c>
      <c r="D47" t="s">
        <v>285</v>
      </c>
    </row>
  </sheetData>
  <mergeCells count="1">
    <mergeCell ref="A39:L3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workbookViewId="0">
      <selection activeCell="B16" sqref="B16"/>
    </sheetView>
  </sheetViews>
  <sheetFormatPr defaultRowHeight="15" x14ac:dyDescent="0.25"/>
  <sheetData>
    <row r="1" spans="1:13" x14ac:dyDescent="0.25">
      <c r="A1">
        <v>1</v>
      </c>
      <c r="B1" s="2" t="s">
        <v>243</v>
      </c>
      <c r="D1" s="2" t="str">
        <f>CONCATENATE(E1," or ",I1," or ",M1)</f>
        <v>Mesha  or Simha or Dhanu</v>
      </c>
      <c r="E1" t="s">
        <v>242</v>
      </c>
      <c r="F1" t="s">
        <v>168</v>
      </c>
      <c r="G1" t="s">
        <v>169</v>
      </c>
      <c r="H1" t="s">
        <v>170</v>
      </c>
      <c r="I1" t="s">
        <v>171</v>
      </c>
      <c r="J1" t="s">
        <v>172</v>
      </c>
      <c r="K1" t="s">
        <v>173</v>
      </c>
      <c r="L1" t="s">
        <v>174</v>
      </c>
      <c r="M1" t="s">
        <v>175</v>
      </c>
    </row>
    <row r="2" spans="1:13" x14ac:dyDescent="0.25">
      <c r="A2">
        <v>2</v>
      </c>
      <c r="B2" s="2" t="s">
        <v>244</v>
      </c>
      <c r="D2" s="2" t="str">
        <f t="shared" ref="D2:D12" si="0">CONCATENATE(E2," or ",I2," or ",M2)</f>
        <v>Vrishabha or Kanya or Makara</v>
      </c>
      <c r="E2" t="s">
        <v>168</v>
      </c>
      <c r="F2" t="s">
        <v>169</v>
      </c>
      <c r="G2" t="s">
        <v>170</v>
      </c>
      <c r="H2" t="s">
        <v>171</v>
      </c>
      <c r="I2" t="s">
        <v>172</v>
      </c>
      <c r="J2" t="s">
        <v>173</v>
      </c>
      <c r="K2" t="s">
        <v>174</v>
      </c>
      <c r="L2" t="s">
        <v>175</v>
      </c>
      <c r="M2" t="s">
        <v>176</v>
      </c>
    </row>
    <row r="3" spans="1:13" x14ac:dyDescent="0.25">
      <c r="A3">
        <v>3</v>
      </c>
      <c r="B3" s="2" t="s">
        <v>245</v>
      </c>
      <c r="D3" s="2" t="str">
        <f t="shared" si="0"/>
        <v>Mithuna or Thula or Kumbha</v>
      </c>
      <c r="E3" t="s">
        <v>169</v>
      </c>
      <c r="F3" t="s">
        <v>170</v>
      </c>
      <c r="G3" t="s">
        <v>171</v>
      </c>
      <c r="H3" t="s">
        <v>172</v>
      </c>
      <c r="I3" t="s">
        <v>173</v>
      </c>
      <c r="J3" t="s">
        <v>174</v>
      </c>
      <c r="K3" t="s">
        <v>175</v>
      </c>
      <c r="L3" t="s">
        <v>176</v>
      </c>
      <c r="M3" t="s">
        <v>177</v>
      </c>
    </row>
    <row r="4" spans="1:13" x14ac:dyDescent="0.25">
      <c r="A4">
        <v>4</v>
      </c>
      <c r="B4" s="2" t="s">
        <v>246</v>
      </c>
      <c r="D4" s="2" t="str">
        <f t="shared" si="0"/>
        <v>Karaka or Vrishchika or Meena</v>
      </c>
      <c r="E4" t="s">
        <v>170</v>
      </c>
      <c r="F4" t="s">
        <v>171</v>
      </c>
      <c r="G4" t="s">
        <v>172</v>
      </c>
      <c r="H4" t="s">
        <v>173</v>
      </c>
      <c r="I4" t="s">
        <v>174</v>
      </c>
      <c r="J4" t="s">
        <v>175</v>
      </c>
      <c r="K4" t="s">
        <v>176</v>
      </c>
      <c r="L4" t="s">
        <v>177</v>
      </c>
      <c r="M4" t="s">
        <v>178</v>
      </c>
    </row>
    <row r="5" spans="1:13" x14ac:dyDescent="0.25">
      <c r="A5">
        <v>5</v>
      </c>
      <c r="B5" s="2" t="s">
        <v>247</v>
      </c>
      <c r="D5" s="2" t="str">
        <f t="shared" si="0"/>
        <v xml:space="preserve">Simha or Dhanu or Mesha </v>
      </c>
      <c r="E5" t="s">
        <v>171</v>
      </c>
      <c r="F5" t="s">
        <v>172</v>
      </c>
      <c r="G5" t="s">
        <v>173</v>
      </c>
      <c r="H5" t="s">
        <v>174</v>
      </c>
      <c r="I5" t="s">
        <v>175</v>
      </c>
      <c r="J5" t="s">
        <v>176</v>
      </c>
      <c r="K5" t="s">
        <v>177</v>
      </c>
      <c r="L5" t="s">
        <v>178</v>
      </c>
      <c r="M5" t="s">
        <v>242</v>
      </c>
    </row>
    <row r="6" spans="1:13" x14ac:dyDescent="0.25">
      <c r="A6">
        <v>6</v>
      </c>
      <c r="B6" s="2" t="s">
        <v>248</v>
      </c>
      <c r="D6" s="2" t="str">
        <f t="shared" si="0"/>
        <v>Kanya or Makara or Vrishabha</v>
      </c>
      <c r="E6" t="s">
        <v>172</v>
      </c>
      <c r="F6" t="s">
        <v>173</v>
      </c>
      <c r="G6" t="s">
        <v>174</v>
      </c>
      <c r="H6" t="s">
        <v>175</v>
      </c>
      <c r="I6" t="s">
        <v>176</v>
      </c>
      <c r="J6" t="s">
        <v>177</v>
      </c>
      <c r="K6" t="s">
        <v>178</v>
      </c>
      <c r="L6" t="s">
        <v>242</v>
      </c>
      <c r="M6" t="s">
        <v>168</v>
      </c>
    </row>
    <row r="7" spans="1:13" x14ac:dyDescent="0.25">
      <c r="A7">
        <v>7</v>
      </c>
      <c r="B7" s="2" t="s">
        <v>249</v>
      </c>
      <c r="D7" s="2" t="str">
        <f t="shared" si="0"/>
        <v>Thula or Kumbha or Mithuna</v>
      </c>
      <c r="E7" t="s">
        <v>173</v>
      </c>
      <c r="F7" t="s">
        <v>174</v>
      </c>
      <c r="G7" t="s">
        <v>175</v>
      </c>
      <c r="H7" t="s">
        <v>176</v>
      </c>
      <c r="I7" t="s">
        <v>177</v>
      </c>
      <c r="J7" t="s">
        <v>178</v>
      </c>
      <c r="K7" t="s">
        <v>242</v>
      </c>
      <c r="L7" t="s">
        <v>168</v>
      </c>
      <c r="M7" t="s">
        <v>169</v>
      </c>
    </row>
    <row r="8" spans="1:13" x14ac:dyDescent="0.25">
      <c r="A8">
        <v>8</v>
      </c>
      <c r="B8" s="2" t="s">
        <v>250</v>
      </c>
      <c r="D8" s="2" t="str">
        <f t="shared" si="0"/>
        <v>Vrishchika or Meena or Karaka</v>
      </c>
      <c r="E8" t="s">
        <v>174</v>
      </c>
      <c r="F8" t="s">
        <v>175</v>
      </c>
      <c r="G8" t="s">
        <v>176</v>
      </c>
      <c r="H8" t="s">
        <v>177</v>
      </c>
      <c r="I8" t="s">
        <v>178</v>
      </c>
      <c r="J8" t="s">
        <v>242</v>
      </c>
      <c r="K8" t="s">
        <v>168</v>
      </c>
      <c r="L8" t="s">
        <v>169</v>
      </c>
      <c r="M8" t="s">
        <v>170</v>
      </c>
    </row>
    <row r="9" spans="1:13" x14ac:dyDescent="0.25">
      <c r="A9">
        <v>9</v>
      </c>
      <c r="B9" s="2" t="s">
        <v>251</v>
      </c>
      <c r="D9" s="2" t="str">
        <f t="shared" si="0"/>
        <v>Dhanu or Mesha  or Simha</v>
      </c>
      <c r="E9" t="s">
        <v>175</v>
      </c>
      <c r="F9" t="s">
        <v>176</v>
      </c>
      <c r="G9" t="s">
        <v>177</v>
      </c>
      <c r="H9" t="s">
        <v>178</v>
      </c>
      <c r="I9" t="s">
        <v>242</v>
      </c>
      <c r="J9" t="s">
        <v>168</v>
      </c>
      <c r="K9" t="s">
        <v>169</v>
      </c>
      <c r="L9" t="s">
        <v>170</v>
      </c>
      <c r="M9" t="s">
        <v>171</v>
      </c>
    </row>
    <row r="10" spans="1:13" x14ac:dyDescent="0.25">
      <c r="A10">
        <v>10</v>
      </c>
      <c r="B10" s="2" t="s">
        <v>252</v>
      </c>
      <c r="D10" s="2" t="str">
        <f t="shared" si="0"/>
        <v>Makara or Vrishabha or Kanya</v>
      </c>
      <c r="E10" t="s">
        <v>176</v>
      </c>
      <c r="F10" t="s">
        <v>177</v>
      </c>
      <c r="G10" t="s">
        <v>178</v>
      </c>
      <c r="H10" t="s">
        <v>242</v>
      </c>
      <c r="I10" t="s">
        <v>168</v>
      </c>
      <c r="J10" t="s">
        <v>169</v>
      </c>
      <c r="K10" t="s">
        <v>170</v>
      </c>
      <c r="L10" t="s">
        <v>171</v>
      </c>
      <c r="M10" t="s">
        <v>172</v>
      </c>
    </row>
    <row r="11" spans="1:13" x14ac:dyDescent="0.25">
      <c r="A11">
        <v>11</v>
      </c>
      <c r="B11" s="2" t="s">
        <v>253</v>
      </c>
      <c r="D11" s="2" t="str">
        <f t="shared" si="0"/>
        <v>Kumbha or Mithuna or Thula</v>
      </c>
      <c r="E11" t="s">
        <v>177</v>
      </c>
      <c r="F11" t="s">
        <v>178</v>
      </c>
      <c r="G11" t="s">
        <v>242</v>
      </c>
      <c r="H11" t="s">
        <v>168</v>
      </c>
      <c r="I11" t="s">
        <v>169</v>
      </c>
      <c r="J11" t="s">
        <v>170</v>
      </c>
      <c r="K11" t="s">
        <v>171</v>
      </c>
      <c r="L11" t="s">
        <v>172</v>
      </c>
      <c r="M11" t="s">
        <v>173</v>
      </c>
    </row>
    <row r="12" spans="1:13" x14ac:dyDescent="0.25">
      <c r="A12">
        <v>12</v>
      </c>
      <c r="B12" s="2" t="s">
        <v>254</v>
      </c>
      <c r="D12" s="2" t="str">
        <f t="shared" si="0"/>
        <v>Meena or Karaka or Vrishchika</v>
      </c>
      <c r="E12" t="s">
        <v>178</v>
      </c>
      <c r="F12" t="s">
        <v>242</v>
      </c>
      <c r="G12" t="s">
        <v>168</v>
      </c>
      <c r="H12" t="s">
        <v>169</v>
      </c>
      <c r="I12" t="s">
        <v>170</v>
      </c>
      <c r="J12" t="s">
        <v>171</v>
      </c>
      <c r="K12" t="s">
        <v>172</v>
      </c>
      <c r="L12" t="s">
        <v>173</v>
      </c>
      <c r="M12" t="s">
        <v>174</v>
      </c>
    </row>
    <row r="13" spans="1:13" x14ac:dyDescent="0.25">
      <c r="A13" s="4">
        <v>12</v>
      </c>
      <c r="B13" s="4">
        <v>12</v>
      </c>
      <c r="C13" t="str">
        <f>IF(A13=1,$B$1,IF(A13=2,$B$2,IF(A13=3,$B$3,IF(A13=4,$B$4,IF(A13=5,$B$5,IF(A13=6,$B$6,IF(A13=7,$B$7,IF(A13=8,$B$8,IF(A13=9,$B$9,IF(A13=10,$B$10,IF(A13=11,$B$11,$B$12)))))))))))</f>
        <v>Meena Rasi ; Karaka and Vrishchika Rasi are at Trikona from Meena</v>
      </c>
      <c r="D13" t="str">
        <f>IF(B13=1,$B$1,IF(B13=2,$B$2,IF(B13=3,$B$3,IF(B13=4,$B$4,IF(B13=5,$B$5,IF(B13=6,$B$6,IF(B13=7,$B$7,IF(B13=8,$B$8,IF(B13=9,$B$9,IF(B13=10,$B$10,IF(B13=11,$B$11,$B$12)))))))))))</f>
        <v>Meena Rasi ; Karaka and Vrishchika Rasi are at Trikona from Meena</v>
      </c>
    </row>
    <row r="14" spans="1:13" x14ac:dyDescent="0.25">
      <c r="A14" s="4" t="s">
        <v>262</v>
      </c>
      <c r="B14" s="4" t="s">
        <v>263</v>
      </c>
      <c r="C14" t="str">
        <f>IF(A13=1,$D$1,IF(A13=2,$D$2,IF(A13=3,$D$3,IF(A13=4,$D$4,IF(A13=5,$D$5,IF(A13=6,$D$6,IF(A13=7,$D$7,IF(A13=8,$D$8,IF(A13=9,$D$9,IF(A13=10,$D$10,IF(A13=11,$D$11,$D$12)))))))))))</f>
        <v>Meena or Karaka or Vrishchika</v>
      </c>
      <c r="D14" t="str">
        <f>IF(B13=1,$D$1,IF(B13=2,$D$2,IF(B13=3,$D$3,IF(B13=4,$D$4,IF(B13=5,$D$5,IF(B13=6,$D$6,IF(B13=7,$D$7,IF(B13=8,$D$8,IF(B13=9,$D$9,IF(B13=10,$D$10,IF(B13=11,$D$11,$D$12)))))))))))</f>
        <v>Meena or Karaka or Vrishchika</v>
      </c>
    </row>
    <row r="15" spans="1:13" x14ac:dyDescent="0.25">
      <c r="A15" s="4" t="s">
        <v>281</v>
      </c>
      <c r="B15" s="4" t="s">
        <v>282</v>
      </c>
    </row>
    <row r="16" spans="1:13" x14ac:dyDescent="0.25">
      <c r="A16" s="3" t="s">
        <v>261</v>
      </c>
    </row>
    <row r="17" spans="1:1" x14ac:dyDescent="0.25">
      <c r="A17" s="3" t="str">
        <f>CONCATENATE("In Lagna chart the 9th house lord  ",$A$14," is situated in ",C13)</f>
        <v>In Lagna chart the 9th house lord  Q is situated in Meena Rasi ; Karaka and Vrishchika Rasi are at Trikona from Meena</v>
      </c>
    </row>
    <row r="18" spans="1:1" x14ac:dyDescent="0.25">
      <c r="A18" s="3" t="str">
        <f>CONCATENATE("In Navamansha chart the 9th house lord  ",B14," is situated in ",D13)</f>
        <v>In Navamansha chart the 9th house lord  Y is situated in Meena Rasi ; Karaka and Vrishchika Rasi are at Trikona from Meena</v>
      </c>
    </row>
    <row r="19" spans="1:1" x14ac:dyDescent="0.25">
      <c r="A19" s="3" t="str">
        <f>CONCATENATE("You will experience POSITIVE changes regarding matters related to abroad when radical Jupiter (Guru) transits",$C$14," OR ",$D$14)</f>
        <v>You will experience POSITIVE changes regarding matters related to abroad when radical Jupiter (Guru) transitsMeena or Karaka or Vrishchika OR Meena or Karaka or Vrishchika</v>
      </c>
    </row>
    <row r="20" spans="1:1" x14ac:dyDescent="0.25">
      <c r="A20" s="3" t="str">
        <f>CONCATENATE("You will experience NEGATIVE changes regarding matters related to abroad when radical Saturn (Shani) transits",$C$14," OR ",$D$14)</f>
        <v>You will experience NEGATIVE changes regarding matters related to abroad when radical Saturn (Shani) transitsMeena or Karaka or Vrishchika OR Meena or Karaka or Vrishchika</v>
      </c>
    </row>
    <row r="21" spans="1:1" x14ac:dyDescent="0.25">
      <c r="A21" s="3" t="str">
        <f>CONCATENATE("Your dream of Settling Abroad/ Going Abroad / Career establishment Abroad will take place when radical Jupiter (Guru) transits ",$C$14," OR ",$D$14)</f>
        <v>Your dream of Settling Abroad/ Going Abroad / Career establishment Abroad will take place when radical Jupiter (Guru) transits Meena or Karaka or Vrishchika OR Meena or Karaka or Vrishchika</v>
      </c>
    </row>
    <row r="22" spans="1:1" x14ac:dyDescent="0.25">
      <c r="A22" s="3" t="s">
        <v>13</v>
      </c>
    </row>
    <row r="23" spans="1:1" x14ac:dyDescent="0.25">
      <c r="A23" s="3" t="s">
        <v>14</v>
      </c>
    </row>
    <row r="24" spans="1:1" x14ac:dyDescent="0.25">
      <c r="A24" s="3" t="s">
        <v>15</v>
      </c>
    </row>
    <row r="25" spans="1:1" x14ac:dyDescent="0.25">
      <c r="A25" s="3" t="s">
        <v>258</v>
      </c>
    </row>
    <row r="27" spans="1:1" x14ac:dyDescent="0.25">
      <c r="A27" t="s">
        <v>45</v>
      </c>
    </row>
    <row r="28" spans="1:1" x14ac:dyDescent="0.25">
      <c r="A28" t="s">
        <v>46</v>
      </c>
    </row>
    <row r="29" spans="1:1" x14ac:dyDescent="0.25">
      <c r="A29" t="s">
        <v>259</v>
      </c>
    </row>
    <row r="30" spans="1:1" x14ac:dyDescent="0.25">
      <c r="A30" t="s">
        <v>260</v>
      </c>
    </row>
    <row r="31" spans="1:1" x14ac:dyDescent="0.25">
      <c r="A31" t="s">
        <v>47</v>
      </c>
    </row>
    <row r="33" spans="1:1" x14ac:dyDescent="0.25">
      <c r="A33" t="s">
        <v>14</v>
      </c>
    </row>
    <row r="38" spans="1:1" x14ac:dyDescent="0.25">
      <c r="A38" t="s">
        <v>51</v>
      </c>
    </row>
    <row r="39" spans="1:1" x14ac:dyDescent="0.25">
      <c r="A39" t="s">
        <v>52</v>
      </c>
    </row>
    <row r="41" spans="1:1" x14ac:dyDescent="0.25">
      <c r="A41" t="s">
        <v>138</v>
      </c>
    </row>
    <row r="42" spans="1:1" x14ac:dyDescent="0.25">
      <c r="A42" t="s">
        <v>134</v>
      </c>
    </row>
    <row r="43" spans="1:1" x14ac:dyDescent="0.25">
      <c r="A43" t="s">
        <v>135</v>
      </c>
    </row>
    <row r="44" spans="1:1" x14ac:dyDescent="0.25">
      <c r="A44" t="s">
        <v>136</v>
      </c>
    </row>
    <row r="45" spans="1:1" x14ac:dyDescent="0.25">
      <c r="A45"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9"/>
  <sheetViews>
    <sheetView workbookViewId="0">
      <selection activeCell="A8" sqref="A8"/>
    </sheetView>
  </sheetViews>
  <sheetFormatPr defaultRowHeight="15" x14ac:dyDescent="0.25"/>
  <sheetData>
    <row r="1" spans="1:1" x14ac:dyDescent="0.25">
      <c r="A1" t="s">
        <v>25</v>
      </c>
    </row>
    <row r="2" spans="1:1" x14ac:dyDescent="0.25">
      <c r="A2" t="s">
        <v>26</v>
      </c>
    </row>
    <row r="3" spans="1:1" x14ac:dyDescent="0.25">
      <c r="A3" t="s">
        <v>27</v>
      </c>
    </row>
    <row r="4" spans="1:1" x14ac:dyDescent="0.25">
      <c r="A4" t="s">
        <v>28</v>
      </c>
    </row>
    <row r="5" spans="1:1" x14ac:dyDescent="0.25">
      <c r="A5" t="s">
        <v>29</v>
      </c>
    </row>
    <row r="7" spans="1:1" x14ac:dyDescent="0.25">
      <c r="A7" t="s">
        <v>232</v>
      </c>
    </row>
    <row r="8" spans="1:1" x14ac:dyDescent="0.25">
      <c r="A8" t="s">
        <v>233</v>
      </c>
    </row>
    <row r="9" spans="1:1" x14ac:dyDescent="0.25">
      <c r="A9" s="7" t="s">
        <v>306</v>
      </c>
    </row>
    <row r="10" spans="1:1" x14ac:dyDescent="0.25">
      <c r="A10" t="s">
        <v>307</v>
      </c>
    </row>
    <row r="12" spans="1:1" x14ac:dyDescent="0.25">
      <c r="A12" t="s">
        <v>30</v>
      </c>
    </row>
    <row r="13" spans="1:1" x14ac:dyDescent="0.25">
      <c r="A13" t="s">
        <v>31</v>
      </c>
    </row>
    <row r="14" spans="1:1" x14ac:dyDescent="0.25">
      <c r="A14" t="s">
        <v>32</v>
      </c>
    </row>
    <row r="15" spans="1:1" x14ac:dyDescent="0.25">
      <c r="A15" t="s">
        <v>33</v>
      </c>
    </row>
    <row r="16" spans="1:1" x14ac:dyDescent="0.25">
      <c r="A16" t="s">
        <v>34</v>
      </c>
    </row>
    <row r="17" spans="1:1" x14ac:dyDescent="0.25">
      <c r="A17" t="s">
        <v>35</v>
      </c>
    </row>
    <row r="18" spans="1:1" x14ac:dyDescent="0.25">
      <c r="A18" t="s">
        <v>36</v>
      </c>
    </row>
    <row r="19" spans="1:1" x14ac:dyDescent="0.25">
      <c r="A19" t="s">
        <v>37</v>
      </c>
    </row>
    <row r="20" spans="1:1" x14ac:dyDescent="0.25">
      <c r="A20" t="s">
        <v>38</v>
      </c>
    </row>
    <row r="21" spans="1:1" x14ac:dyDescent="0.25">
      <c r="A21" t="s">
        <v>39</v>
      </c>
    </row>
    <row r="22" spans="1:1" x14ac:dyDescent="0.25">
      <c r="A22" t="s">
        <v>40</v>
      </c>
    </row>
    <row r="23" spans="1:1" x14ac:dyDescent="0.25">
      <c r="A23" t="s">
        <v>41</v>
      </c>
    </row>
    <row r="27" spans="1:1" x14ac:dyDescent="0.25">
      <c r="A27" t="s">
        <v>59</v>
      </c>
    </row>
    <row r="29" spans="1:1" x14ac:dyDescent="0.25">
      <c r="A29" t="s">
        <v>60</v>
      </c>
    </row>
    <row r="30" spans="1:1" x14ac:dyDescent="0.25">
      <c r="A30" t="s">
        <v>61</v>
      </c>
    </row>
    <row r="31" spans="1:1" x14ac:dyDescent="0.25">
      <c r="A31" t="s">
        <v>62</v>
      </c>
    </row>
    <row r="34" spans="1:1" x14ac:dyDescent="0.25">
      <c r="A34" t="s">
        <v>53</v>
      </c>
    </row>
    <row r="35" spans="1:1" x14ac:dyDescent="0.25">
      <c r="A35" t="s">
        <v>54</v>
      </c>
    </row>
    <row r="36" spans="1:1" x14ac:dyDescent="0.25">
      <c r="A36" t="s">
        <v>55</v>
      </c>
    </row>
    <row r="37" spans="1:1" x14ac:dyDescent="0.25">
      <c r="A37" t="s">
        <v>56</v>
      </c>
    </row>
    <row r="39" spans="1:1" x14ac:dyDescent="0.25">
      <c r="A39" t="s">
        <v>63</v>
      </c>
    </row>
    <row r="40" spans="1:1" x14ac:dyDescent="0.25">
      <c r="A40" t="s">
        <v>64</v>
      </c>
    </row>
    <row r="41" spans="1:1" x14ac:dyDescent="0.25">
      <c r="A41" t="s">
        <v>65</v>
      </c>
    </row>
    <row r="42" spans="1:1" x14ac:dyDescent="0.25">
      <c r="A42" t="s">
        <v>66</v>
      </c>
    </row>
    <row r="45" spans="1:1" x14ac:dyDescent="0.25">
      <c r="A45" t="s">
        <v>139</v>
      </c>
    </row>
    <row r="47" spans="1:1" x14ac:dyDescent="0.25">
      <c r="A47" t="s">
        <v>140</v>
      </c>
    </row>
    <row r="48" spans="1:1" x14ac:dyDescent="0.25">
      <c r="A48" t="s">
        <v>141</v>
      </c>
    </row>
    <row r="49" spans="1:1" x14ac:dyDescent="0.25">
      <c r="A49" t="s">
        <v>142</v>
      </c>
    </row>
    <row r="51" spans="1:1" x14ac:dyDescent="0.25">
      <c r="A51" t="s">
        <v>143</v>
      </c>
    </row>
    <row r="52" spans="1:1" x14ac:dyDescent="0.25">
      <c r="A52" t="s">
        <v>144</v>
      </c>
    </row>
    <row r="53" spans="1:1" x14ac:dyDescent="0.25">
      <c r="A53" t="s">
        <v>145</v>
      </c>
    </row>
    <row r="54" spans="1:1" x14ac:dyDescent="0.25">
      <c r="A54" t="s">
        <v>146</v>
      </c>
    </row>
    <row r="55" spans="1:1" x14ac:dyDescent="0.25">
      <c r="A55" t="s">
        <v>147</v>
      </c>
    </row>
    <row r="56" spans="1:1" x14ac:dyDescent="0.25">
      <c r="A56" t="s">
        <v>148</v>
      </c>
    </row>
    <row r="58" spans="1:1" x14ac:dyDescent="0.25">
      <c r="A58" t="s">
        <v>149</v>
      </c>
    </row>
    <row r="59" spans="1:1" x14ac:dyDescent="0.25">
      <c r="A59" t="s">
        <v>150</v>
      </c>
    </row>
    <row r="60" spans="1:1" x14ac:dyDescent="0.25">
      <c r="A60" t="s">
        <v>151</v>
      </c>
    </row>
    <row r="61" spans="1:1" x14ac:dyDescent="0.25">
      <c r="A61" t="s">
        <v>152</v>
      </c>
    </row>
    <row r="62" spans="1:1" x14ac:dyDescent="0.25">
      <c r="A62" t="s">
        <v>153</v>
      </c>
    </row>
    <row r="64" spans="1:1" x14ac:dyDescent="0.25">
      <c r="A64" t="s">
        <v>154</v>
      </c>
    </row>
    <row r="65" spans="1:1" x14ac:dyDescent="0.25">
      <c r="A65" t="s">
        <v>155</v>
      </c>
    </row>
    <row r="66" spans="1:1" x14ac:dyDescent="0.25">
      <c r="A66" t="s">
        <v>156</v>
      </c>
    </row>
    <row r="67" spans="1:1" x14ac:dyDescent="0.25">
      <c r="A67" t="s">
        <v>157</v>
      </c>
    </row>
    <row r="69" spans="1:1" x14ac:dyDescent="0.25">
      <c r="A69" t="s">
        <v>158</v>
      </c>
    </row>
    <row r="70" spans="1:1" x14ac:dyDescent="0.25">
      <c r="A70" t="s">
        <v>159</v>
      </c>
    </row>
    <row r="71" spans="1:1" x14ac:dyDescent="0.25">
      <c r="A71" t="s">
        <v>160</v>
      </c>
    </row>
    <row r="73" spans="1:1" x14ac:dyDescent="0.25">
      <c r="A73" t="s">
        <v>161</v>
      </c>
    </row>
    <row r="74" spans="1:1" x14ac:dyDescent="0.25">
      <c r="A74" t="s">
        <v>162</v>
      </c>
    </row>
    <row r="78" spans="1:1" x14ac:dyDescent="0.25">
      <c r="A78" t="s">
        <v>237</v>
      </c>
    </row>
    <row r="79" spans="1:1" x14ac:dyDescent="0.25">
      <c r="A79" t="s">
        <v>238</v>
      </c>
    </row>
  </sheetData>
  <hyperlinks>
    <hyperlink ref="A9" r:id="rId1" display="http://www.scribd.com/doc/12807330/Ancestors-Curse-Pitradosh-Remedie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election sqref="A1:A9"/>
    </sheetView>
  </sheetViews>
  <sheetFormatPr defaultRowHeight="15" x14ac:dyDescent="0.25"/>
  <sheetData>
    <row r="1" spans="1:1" x14ac:dyDescent="0.25">
      <c r="A1" t="s">
        <v>301</v>
      </c>
    </row>
    <row r="2" spans="1:1" x14ac:dyDescent="0.25">
      <c r="A2" s="1">
        <v>40871</v>
      </c>
    </row>
    <row r="3" spans="1:1" x14ac:dyDescent="0.25">
      <c r="A3" s="1">
        <v>40626</v>
      </c>
    </row>
    <row r="4" spans="1:1" x14ac:dyDescent="0.25">
      <c r="A4" s="1">
        <v>40771</v>
      </c>
    </row>
    <row r="5" spans="1:1" x14ac:dyDescent="0.25">
      <c r="A5" s="1">
        <v>40625</v>
      </c>
    </row>
    <row r="6" spans="1:1" x14ac:dyDescent="0.25">
      <c r="A6" s="1">
        <v>40599</v>
      </c>
    </row>
    <row r="7" spans="1:1" x14ac:dyDescent="0.25">
      <c r="A7" s="1">
        <v>40834</v>
      </c>
    </row>
    <row r="8" spans="1:1" x14ac:dyDescent="0.25">
      <c r="A8" s="1">
        <v>40866</v>
      </c>
    </row>
    <row r="9" spans="1:1" x14ac:dyDescent="0.25">
      <c r="A9" s="1">
        <v>40894</v>
      </c>
    </row>
    <row r="11" spans="1:1" x14ac:dyDescent="0.25">
      <c r="A11" t="s">
        <v>290</v>
      </c>
    </row>
    <row r="12" spans="1:1" x14ac:dyDescent="0.25">
      <c r="A12" t="s">
        <v>293</v>
      </c>
    </row>
    <row r="13" spans="1:1" x14ac:dyDescent="0.25">
      <c r="A13" t="s">
        <v>291</v>
      </c>
    </row>
    <row r="14" spans="1:1" x14ac:dyDescent="0.25">
      <c r="A14" t="s">
        <v>292</v>
      </c>
    </row>
    <row r="17" spans="1:1" x14ac:dyDescent="0.25">
      <c r="A17" t="s">
        <v>294</v>
      </c>
    </row>
    <row r="18" spans="1:1" x14ac:dyDescent="0.25">
      <c r="A18" t="s">
        <v>295</v>
      </c>
    </row>
    <row r="19" spans="1:1" x14ac:dyDescent="0.25">
      <c r="A19" t="s">
        <v>296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A11" sqref="A11"/>
    </sheetView>
  </sheetViews>
  <sheetFormatPr defaultRowHeight="15" x14ac:dyDescent="0.25"/>
  <cols>
    <col min="1" max="1" width="19.28515625" customWidth="1"/>
  </cols>
  <sheetData>
    <row r="1" spans="1:9" x14ac:dyDescent="0.25">
      <c r="A1" t="s">
        <v>311</v>
      </c>
      <c r="B1" t="s">
        <v>308</v>
      </c>
    </row>
    <row r="2" spans="1:9" x14ac:dyDescent="0.25">
      <c r="A2" t="s">
        <v>310</v>
      </c>
      <c r="B2" s="7" t="s">
        <v>309</v>
      </c>
    </row>
    <row r="3" spans="1:9" x14ac:dyDescent="0.25">
      <c r="A3" t="s">
        <v>313</v>
      </c>
      <c r="B3" t="s">
        <v>312</v>
      </c>
      <c r="I3" t="s">
        <v>314</v>
      </c>
    </row>
    <row r="4" spans="1:9" x14ac:dyDescent="0.25">
      <c r="A4" t="s">
        <v>316</v>
      </c>
      <c r="B4" t="s">
        <v>315</v>
      </c>
    </row>
    <row r="5" spans="1:9" x14ac:dyDescent="0.25">
      <c r="A5" t="s">
        <v>318</v>
      </c>
      <c r="B5" t="s">
        <v>317</v>
      </c>
    </row>
    <row r="6" spans="1:9" x14ac:dyDescent="0.25">
      <c r="A6" t="s">
        <v>320</v>
      </c>
      <c r="B6" t="s">
        <v>319</v>
      </c>
    </row>
    <row r="7" spans="1:9" x14ac:dyDescent="0.25">
      <c r="A7" t="s">
        <v>311</v>
      </c>
      <c r="B7" t="s">
        <v>322</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MARRIAGE</vt:lpstr>
      <vt:lpstr>CAREER</vt:lpstr>
      <vt:lpstr>HOUSE</vt:lpstr>
      <vt:lpstr>CHILDREN</vt:lpstr>
      <vt:lpstr>formula</vt:lpstr>
      <vt:lpstr>GENERAL</vt:lpstr>
      <vt:lpstr>HORA</vt:lpstr>
      <vt:lpstr>ALTAPPU</vt:lpstr>
      <vt:lpstr>RATNA</vt:lpstr>
      <vt:lpstr>VIDESH</vt:lpstr>
      <vt:lpstr>KALSARPA</vt:lpstr>
      <vt:lpstr>MUHURTT</vt:lpstr>
      <vt:lpstr>SITES</vt:lpstr>
    </vt:vector>
  </TitlesOfParts>
  <Company>Tejhans Investments Udaipur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 Singh Chauhan</cp:lastModifiedBy>
  <dcterms:created xsi:type="dcterms:W3CDTF">2010-01-22T02:22:48Z</dcterms:created>
  <dcterms:modified xsi:type="dcterms:W3CDTF">2019-10-26T03:17:55Z</dcterms:modified>
</cp:coreProperties>
</file>